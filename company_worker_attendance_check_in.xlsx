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Worker 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<sst xmlns="http://schemas.openxmlformats.org/spreadsheetml/2006/main" count="35" uniqueCount="20">
  <si>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Worker Attendance Check-In</t>
  </si>
  <si>
    <t>Workers fill columns A-I only. Columns J-P are automatic fraud-control checks for payroll review.</t>
  </si>
  <si>
    <t>Date</t>
  </si>
  <si>
    <t>Employee Name</t>
  </si>
  <si>
    <t>Employee ID / PIN</t>
  </si>
  <si>
    <t>Job Site</t>
  </si>
  <si>
    <t>Check In</t>
  </si>
  <si>
    <t>Check Out</t>
  </si>
  <si>
    <t>Hours</t>
  </si>
  <si>
    <t>Marcus Hill</t>
  </si>
  <si>
    <t>E001</t>
  </si>
  <si>
    <t>Atlas</t>
  </si>
  <si>
    <t>Daniel Reyes</t>
  </si>
  <si>
    <t>E002</t>
  </si>
  <si>
    <t>Varon Rise</t>
  </si>
  <si>
    <t>Andre Cole</t>
  </si>
  <si>
    <t>E003</t>
  </si>
  <si>
    <t>The Dunes</t>
  </si>
  <si>
    <t>Luis Rivera</t>
  </si>
  <si>
    <t>E004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</si>
</sst>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h:mm\ AM/PM"/>
  </numFmts>
  <fonts count="24">
    <font>
      <sz val="11"/>
      <name val="Carlito"/>
      <charset val="134"/>
    </font>
    <font>
      <b/>
      <sz val="10"/>
      <color rgb="FFFFFFFF"/>
      <name val="Aptos"/>
      <charset val="134"/>
    </font>
    <font>
      <b/>
      <sz val="10"/>
      <color rgb="FF102033"/>
      <name val="Aptos"/>
      <charset val="134"/>
    </font>
    <font>
      <sz val="1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B5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1" fillId="2" borderId="4" xfId="0" applyNumberFormat="1" applyFont="1" applyFill="1" applyBorder="1" applyAlignment="1">
      <alignment horizontal="center" vertical="center" wrapText="1"/>
    </xf>
    <xf numFmtId="178" fontId="3" fillId="4" borderId="4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179" fontId="3" fillId="4" borderId="4" xfId="0" applyNumberFormat="1" applyFont="1" applyFill="1" applyBorder="1" applyAlignment="1">
      <alignment vertical="center"/>
    </xf>
    <xf numFmtId="2" fontId="3" fillId="5" borderId="4" xfId="0" applyNumberFormat="1" applyFont="1" applyFill="1" applyBorder="1" applyAlignment="1">
      <alignment vertical="center"/>
    </xf>
    <xf numFmtId="0" fontId="3" fillId="5" borderId="4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102033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4"/>
  <sheetViews>
    <sheetView showGridLines="0" tabSelected="1" workbookViewId="0">
      <selection activeCell="E15" sqref="E15"/>
    </sheetView>
  </sheetViews>
  <sheetFormatPr defaultColWidth="9" defaultRowHeight="14"/>
  <cols>
    <col min="1" max="1" width="12" customWidth="1"/>
    <col min="2" max="2" width="20" customWidth="1"/>
    <col min="3" max="3" width="15" customWidth="1"/>
    <col min="4" max="4" width="22" customWidth="1"/>
    <col min="5" max="6" width="12" customWidth="1"/>
    <col min="7" max="8" width="16" customWidth="1"/>
    <col min="9" max="9" width="24" customWidth="1"/>
    <col min="10" max="16" width="16" customWidth="1"/>
  </cols>
  <sheetData>
    <row r="1" ht="30" customHeight="1" spans="1:1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/>
      <c r="I4" s="6"/>
      <c r="J4" s="6"/>
      <c r="K4" s="6"/>
      <c r="L4" s="6"/>
      <c r="M4" s="6"/>
      <c r="N4" s="6"/>
      <c r="O4" s="6"/>
      <c r="P4" s="6"/>
    </row>
    <row r="5" spans="1:16">
      <c r="A5" s="7">
        <v>46197</v>
      </c>
      <c r="B5" s="8" t="s">
        <v>9</v>
      </c>
      <c r="C5" s="8" t="s">
        <v>10</v>
      </c>
      <c r="D5" s="8" t="s">
        <v>11</v>
      </c>
      <c r="E5" s="9">
        <v>0.291666666666667</v>
      </c>
      <c r="F5" s="9">
        <v>0.666666666666667</v>
      </c>
      <c r="G5" s="10">
        <f t="shared" ref="G5:G8" si="0">IF($B5="","",IF(OR($E5="",$F5=""),"",MAX(0,($F5-$E5)*24)))</f>
        <v>9</v>
      </c>
      <c r="H5" s="8"/>
      <c r="I5" s="8"/>
      <c r="J5" s="10"/>
      <c r="K5" s="11"/>
      <c r="L5" s="11"/>
      <c r="M5" s="11"/>
      <c r="N5" s="11"/>
      <c r="O5" s="11"/>
      <c r="P5" s="11"/>
    </row>
    <row r="6" spans="1:16">
      <c r="A6" s="7">
        <v>46197</v>
      </c>
      <c r="B6" s="8" t="s">
        <v>12</v>
      </c>
      <c r="C6" s="8" t="s">
        <v>13</v>
      </c>
      <c r="D6" s="8" t="s">
        <v>14</v>
      </c>
      <c r="E6" s="9">
        <v>0.302083333333333</v>
      </c>
      <c r="F6" s="9">
        <v>0.666666666666667</v>
      </c>
      <c r="G6" s="10">
        <f t="shared" si="0"/>
        <v>8.75</v>
      </c>
      <c r="H6" s="8"/>
      <c r="I6" s="8"/>
      <c r="J6" s="10"/>
      <c r="K6" s="11"/>
      <c r="L6" s="11"/>
      <c r="M6" s="11"/>
      <c r="N6" s="11"/>
      <c r="O6" s="11"/>
      <c r="P6" s="11"/>
    </row>
    <row r="7" spans="1:16">
      <c r="A7" s="7">
        <v>46197</v>
      </c>
      <c r="B7" s="8" t="s">
        <v>15</v>
      </c>
      <c r="C7" s="8" t="s">
        <v>16</v>
      </c>
      <c r="D7" s="8" t="s">
        <v>17</v>
      </c>
      <c r="E7" s="9">
        <v>0.333333333333333</v>
      </c>
      <c r="F7" s="9">
        <v>0.708333333333333</v>
      </c>
      <c r="G7" s="10">
        <f t="shared" si="0"/>
        <v>9</v>
      </c>
      <c r="H7" s="8"/>
      <c r="I7" s="8"/>
      <c r="J7" s="10"/>
      <c r="K7" s="11"/>
      <c r="L7" s="11"/>
      <c r="M7" s="11"/>
      <c r="N7" s="11"/>
      <c r="O7" s="11"/>
      <c r="P7" s="11"/>
    </row>
    <row r="8" spans="1:16">
      <c r="A8" s="7">
        <v>46197</v>
      </c>
      <c r="B8" s="8" t="s">
        <v>18</v>
      </c>
      <c r="C8" s="8" t="s">
        <v>19</v>
      </c>
      <c r="D8" s="8"/>
      <c r="E8" s="9">
        <v>0.291666666666667</v>
      </c>
      <c r="F8" s="9">
        <v>0.729166666666667</v>
      </c>
      <c r="G8" s="10">
        <f t="shared" si="0"/>
        <v>10.5</v>
      </c>
      <c r="H8" s="8"/>
      <c r="I8" s="8"/>
      <c r="J8" s="10"/>
      <c r="K8" s="11"/>
      <c r="L8" s="11"/>
      <c r="M8" s="11"/>
      <c r="N8" s="11"/>
      <c r="O8" s="11"/>
      <c r="P8" s="11"/>
    </row>
    <row r="9" spans="1:16">
      <c r="A9" s="7"/>
      <c r="B9" s="8"/>
      <c r="C9" s="8"/>
      <c r="D9" s="8"/>
      <c r="E9" s="9"/>
      <c r="F9" s="9"/>
      <c r="G9" s="8"/>
      <c r="H9" s="8"/>
      <c r="I9" s="8"/>
      <c r="J9" s="10" t="str">
        <f t="shared" ref="J5:J68" si="1">IF($B9="","",IF(OR($E9="",$F9=""),"",MAX(0,($F9-$E9)*24)))</f>
        <v/>
      </c>
      <c r="K9" s="11" t="str">
        <f>IF($B9="","",IF(COUNTIFS(#REF!,$C9,#REF!,$B9)&gt;0,"OK","NAME / ID MISMATCH"))</f>
        <v/>
      </c>
      <c r="L9" s="11" t="str">
        <f>IF($B9="","",IF(COUNTIFS(#REF!,$A9,#REF!,$D9,#REF!,$G9)&gt;0,"OK","INVALID SITE CODE"))</f>
        <v/>
      </c>
      <c r="M9" s="11" t="str">
        <f t="shared" ref="M5:M68" si="2">IF($B9="","",IF(COUNTIFS($A$5:$A$124,$A9,$C$5:$C$124,$C9)&gt;1,"DUPLICATE","OK"))</f>
        <v/>
      </c>
      <c r="N9" s="11" t="str">
        <f t="shared" ref="N5:N68" si="3">IF($B9="","",IF(OR($E9="",$F9=""),"MISSING TIME",IF($F9&lt;$E9,"BAD TIME",IF($J9&gt;12,"OVER 12 HOURS","OK"))))</f>
        <v/>
      </c>
      <c r="O9" s="11" t="str">
        <f t="shared" ref="O5:O68" si="4">IF($B9="","",IF($H9="","NO SUPERVISOR","OK"))</f>
        <v/>
      </c>
      <c r="P9" s="11" t="str">
        <f t="shared" ref="P5:P68" si="5">IF($B9="","",IF(AND($K9="OK",$L9="OK",$M9="OK",$N9="OK",$O9="OK"),"PAY","HOLD / REVIEW"))</f>
        <v/>
      </c>
    </row>
    <row r="10" spans="1:16">
      <c r="A10" s="7"/>
      <c r="B10" s="8"/>
      <c r="C10" s="8"/>
      <c r="D10" s="8"/>
      <c r="E10" s="9"/>
      <c r="F10" s="9"/>
      <c r="G10" s="8"/>
      <c r="H10" s="8"/>
      <c r="I10" s="8"/>
      <c r="J10" s="10" t="str">
        <f t="shared" si="1"/>
        <v/>
      </c>
      <c r="K10" s="11" t="str">
        <f>IF($B10="","",IF(COUNTIFS(#REF!,$C10,#REF!,$B10)&gt;0,"OK","NAME / ID MISMATCH"))</f>
        <v/>
      </c>
      <c r="L10" s="11" t="str">
        <f>IF($B10="","",IF(COUNTIFS(#REF!,$A10,#REF!,$D10,#REF!,$G10)&gt;0,"OK","INVALID SITE CODE"))</f>
        <v/>
      </c>
      <c r="M10" s="11" t="str">
        <f t="shared" si="2"/>
        <v/>
      </c>
      <c r="N10" s="11" t="str">
        <f t="shared" si="3"/>
        <v/>
      </c>
      <c r="O10" s="11" t="str">
        <f t="shared" si="4"/>
        <v/>
      </c>
      <c r="P10" s="11" t="str">
        <f t="shared" si="5"/>
        <v/>
      </c>
    </row>
    <row r="11" spans="1:16">
      <c r="A11" s="7"/>
      <c r="B11" s="8"/>
      <c r="C11" s="8"/>
      <c r="D11" s="8"/>
      <c r="E11" s="9"/>
      <c r="F11" s="9"/>
      <c r="G11" s="8"/>
      <c r="H11" s="8"/>
      <c r="I11" s="8"/>
      <c r="J11" s="10" t="str">
        <f t="shared" si="1"/>
        <v/>
      </c>
      <c r="K11" s="11" t="str">
        <f>IF($B11="","",IF(COUNTIFS(#REF!,$C11,#REF!,$B11)&gt;0,"OK","NAME / ID MISMATCH"))</f>
        <v/>
      </c>
      <c r="L11" s="11" t="str">
        <f>IF($B11="","",IF(COUNTIFS(#REF!,$A11,#REF!,$D11,#REF!,$G11)&gt;0,"OK","INVALID SITE CODE"))</f>
        <v/>
      </c>
      <c r="M11" s="11" t="str">
        <f t="shared" si="2"/>
        <v/>
      </c>
      <c r="N11" s="11" t="str">
        <f t="shared" si="3"/>
        <v/>
      </c>
      <c r="O11" s="11" t="str">
        <f t="shared" si="4"/>
        <v/>
      </c>
      <c r="P11" s="11" t="str">
        <f t="shared" si="5"/>
        <v/>
      </c>
    </row>
    <row r="12" spans="1:16">
      <c r="A12" s="7"/>
      <c r="B12" s="8"/>
      <c r="C12" s="8"/>
      <c r="D12" s="8"/>
      <c r="E12" s="9"/>
      <c r="F12" s="9"/>
      <c r="G12" s="8"/>
      <c r="H12" s="8"/>
      <c r="I12" s="8"/>
      <c r="J12" s="10" t="str">
        <f t="shared" si="1"/>
        <v/>
      </c>
      <c r="K12" s="11" t="str">
        <f>IF($B12="","",IF(COUNTIFS(#REF!,$C12,#REF!,$B12)&gt;0,"OK","NAME / ID MISMATCH"))</f>
        <v/>
      </c>
      <c r="L12" s="11" t="str">
        <f>IF($B12="","",IF(COUNTIFS(#REF!,$A12,#REF!,$D12,#REF!,$G12)&gt;0,"OK","INVALID SITE CODE"))</f>
        <v/>
      </c>
      <c r="M12" s="11" t="str">
        <f t="shared" si="2"/>
        <v/>
      </c>
      <c r="N12" s="11" t="str">
        <f t="shared" si="3"/>
        <v/>
      </c>
      <c r="O12" s="11" t="str">
        <f t="shared" si="4"/>
        <v/>
      </c>
      <c r="P12" s="11" t="str">
        <f t="shared" si="5"/>
        <v/>
      </c>
    </row>
    <row r="13" spans="1:16">
      <c r="A13" s="7"/>
      <c r="B13" s="8"/>
      <c r="C13" s="8"/>
      <c r="D13" s="8"/>
      <c r="E13" s="9"/>
      <c r="F13" s="9"/>
      <c r="G13" s="8"/>
      <c r="H13" s="8"/>
      <c r="I13" s="8"/>
      <c r="J13" s="10" t="str">
        <f t="shared" si="1"/>
        <v/>
      </c>
      <c r="K13" s="11" t="str">
        <f>IF($B13="","",IF(COUNTIFS(#REF!,$C13,#REF!,$B13)&gt;0,"OK","NAME / ID MISMATCH"))</f>
        <v/>
      </c>
      <c r="L13" s="11" t="str">
        <f>IF($B13="","",IF(COUNTIFS(#REF!,$A13,#REF!,$D13,#REF!,$G13)&gt;0,"OK","INVALID SITE CODE"))</f>
        <v/>
      </c>
      <c r="M13" s="11" t="str">
        <f t="shared" si="2"/>
        <v/>
      </c>
      <c r="N13" s="11" t="str">
        <f t="shared" si="3"/>
        <v/>
      </c>
      <c r="O13" s="11" t="str">
        <f t="shared" si="4"/>
        <v/>
      </c>
      <c r="P13" s="11" t="str">
        <f t="shared" si="5"/>
        <v/>
      </c>
    </row>
    <row r="14" spans="1:16">
      <c r="A14" s="7"/>
      <c r="B14" s="8"/>
      <c r="C14" s="8"/>
      <c r="D14" s="8"/>
      <c r="E14" s="9"/>
      <c r="F14" s="9"/>
      <c r="G14" s="8"/>
      <c r="H14" s="8"/>
      <c r="I14" s="8"/>
      <c r="J14" s="10" t="str">
        <f t="shared" si="1"/>
        <v/>
      </c>
      <c r="K14" s="11" t="str">
        <f>IF($B14="","",IF(COUNTIFS(#REF!,$C14,#REF!,$B14)&gt;0,"OK","NAME / ID MISMATCH"))</f>
        <v/>
      </c>
      <c r="L14" s="11" t="str">
        <f>IF($B14="","",IF(COUNTIFS(#REF!,$A14,#REF!,$D14,#REF!,$G14)&gt;0,"OK","INVALID SITE CODE"))</f>
        <v/>
      </c>
      <c r="M14" s="11" t="str">
        <f t="shared" si="2"/>
        <v/>
      </c>
      <c r="N14" s="11" t="str">
        <f t="shared" si="3"/>
        <v/>
      </c>
      <c r="O14" s="11" t="str">
        <f t="shared" si="4"/>
        <v/>
      </c>
      <c r="P14" s="11" t="str">
        <f t="shared" si="5"/>
        <v/>
      </c>
    </row>
    <row r="15" spans="1:16">
      <c r="A15" s="7"/>
      <c r="B15" s="8"/>
      <c r="C15" s="8"/>
      <c r="D15" s="8"/>
      <c r="E15" s="9"/>
      <c r="F15" s="9"/>
      <c r="G15" s="8"/>
      <c r="H15" s="8"/>
      <c r="I15" s="8"/>
      <c r="J15" s="10" t="str">
        <f t="shared" si="1"/>
        <v/>
      </c>
      <c r="K15" s="11" t="str">
        <f>IF($B15="","",IF(COUNTIFS(#REF!,$C15,#REF!,$B15)&gt;0,"OK","NAME / ID MISMATCH"))</f>
        <v/>
      </c>
      <c r="L15" s="11" t="str">
        <f>IF($B15="","",IF(COUNTIFS(#REF!,$A15,#REF!,$D15,#REF!,$G15)&gt;0,"OK","INVALID SITE CODE"))</f>
        <v/>
      </c>
      <c r="M15" s="11" t="str">
        <f t="shared" si="2"/>
        <v/>
      </c>
      <c r="N15" s="11" t="str">
        <f t="shared" si="3"/>
        <v/>
      </c>
      <c r="O15" s="11" t="str">
        <f t="shared" si="4"/>
        <v/>
      </c>
      <c r="P15" s="11" t="str">
        <f t="shared" si="5"/>
        <v/>
      </c>
    </row>
    <row r="16" spans="1:16">
      <c r="A16" s="7"/>
      <c r="B16" s="8"/>
      <c r="C16" s="8"/>
      <c r="D16" s="8"/>
      <c r="E16" s="9"/>
      <c r="F16" s="9"/>
      <c r="G16" s="8"/>
      <c r="H16" s="8"/>
      <c r="I16" s="8"/>
      <c r="J16" s="10" t="str">
        <f t="shared" si="1"/>
        <v/>
      </c>
      <c r="K16" s="11" t="str">
        <f>IF($B16="","",IF(COUNTIFS(#REF!,$C16,#REF!,$B16)&gt;0,"OK","NAME / ID MISMATCH"))</f>
        <v/>
      </c>
      <c r="L16" s="11" t="str">
        <f>IF($B16="","",IF(COUNTIFS(#REF!,$A16,#REF!,$D16,#REF!,$G16)&gt;0,"OK","INVALID SITE CODE"))</f>
        <v/>
      </c>
      <c r="M16" s="11" t="str">
        <f t="shared" si="2"/>
        <v/>
      </c>
      <c r="N16" s="11" t="str">
        <f t="shared" si="3"/>
        <v/>
      </c>
      <c r="O16" s="11" t="str">
        <f t="shared" si="4"/>
        <v/>
      </c>
      <c r="P16" s="11" t="str">
        <f t="shared" si="5"/>
        <v/>
      </c>
    </row>
    <row r="17" spans="1:16">
      <c r="A17" s="7"/>
      <c r="B17" s="8"/>
      <c r="C17" s="8"/>
      <c r="D17" s="8"/>
      <c r="E17" s="9"/>
      <c r="F17" s="9"/>
      <c r="G17" s="8"/>
      <c r="H17" s="8"/>
      <c r="I17" s="8"/>
      <c r="J17" s="10" t="str">
        <f t="shared" si="1"/>
        <v/>
      </c>
      <c r="K17" s="11" t="str">
        <f>IF($B17="","",IF(COUNTIFS(#REF!,$C17,#REF!,$B17)&gt;0,"OK","NAME / ID MISMATCH"))</f>
        <v/>
      </c>
      <c r="L17" s="11" t="str">
        <f>IF($B17="","",IF(COUNTIFS(#REF!,$A17,#REF!,$D17,#REF!,$G17)&gt;0,"OK","INVALID SITE CODE"))</f>
        <v/>
      </c>
      <c r="M17" s="11" t="str">
        <f t="shared" si="2"/>
        <v/>
      </c>
      <c r="N17" s="11" t="str">
        <f t="shared" si="3"/>
        <v/>
      </c>
      <c r="O17" s="11" t="str">
        <f t="shared" si="4"/>
        <v/>
      </c>
      <c r="P17" s="11" t="str">
        <f t="shared" si="5"/>
        <v/>
      </c>
    </row>
    <row r="18" spans="1:16">
      <c r="A18" s="7"/>
      <c r="B18" s="8"/>
      <c r="C18" s="8"/>
      <c r="D18" s="8"/>
      <c r="E18" s="9"/>
      <c r="F18" s="9"/>
      <c r="G18" s="8"/>
      <c r="H18" s="8"/>
      <c r="I18" s="8"/>
      <c r="J18" s="10" t="str">
        <f t="shared" si="1"/>
        <v/>
      </c>
      <c r="K18" s="11" t="str">
        <f>IF($B18="","",IF(COUNTIFS(#REF!,$C18,#REF!,$B18)&gt;0,"OK","NAME / ID MISMATCH"))</f>
        <v/>
      </c>
      <c r="L18" s="11" t="str">
        <f>IF($B18="","",IF(COUNTIFS(#REF!,$A18,#REF!,$D18,#REF!,$G18)&gt;0,"OK","INVALID SITE CODE"))</f>
        <v/>
      </c>
      <c r="M18" s="11" t="str">
        <f t="shared" si="2"/>
        <v/>
      </c>
      <c r="N18" s="11" t="str">
        <f t="shared" si="3"/>
        <v/>
      </c>
      <c r="O18" s="11" t="str">
        <f t="shared" si="4"/>
        <v/>
      </c>
      <c r="P18" s="11" t="str">
        <f t="shared" si="5"/>
        <v/>
      </c>
    </row>
    <row r="19" spans="1:16">
      <c r="A19" s="7"/>
      <c r="B19" s="8"/>
      <c r="C19" s="8"/>
      <c r="D19" s="8"/>
      <c r="E19" s="9"/>
      <c r="F19" s="9"/>
      <c r="G19" s="8"/>
      <c r="H19" s="8"/>
      <c r="I19" s="8"/>
      <c r="J19" s="10" t="str">
        <f t="shared" si="1"/>
        <v/>
      </c>
      <c r="K19" s="11" t="str">
        <f>IF($B19="","",IF(COUNTIFS(#REF!,$C19,#REF!,$B19)&gt;0,"OK","NAME / ID MISMATCH"))</f>
        <v/>
      </c>
      <c r="L19" s="11" t="str">
        <f>IF($B19="","",IF(COUNTIFS(#REF!,$A19,#REF!,$D19,#REF!,$G19)&gt;0,"OK","INVALID SITE CODE"))</f>
        <v/>
      </c>
      <c r="M19" s="11" t="str">
        <f t="shared" si="2"/>
        <v/>
      </c>
      <c r="N19" s="11" t="str">
        <f t="shared" si="3"/>
        <v/>
      </c>
      <c r="O19" s="11" t="str">
        <f t="shared" si="4"/>
        <v/>
      </c>
      <c r="P19" s="11" t="str">
        <f t="shared" si="5"/>
        <v/>
      </c>
    </row>
    <row r="20" spans="1:16">
      <c r="A20" s="7"/>
      <c r="B20" s="8"/>
      <c r="C20" s="8"/>
      <c r="D20" s="8"/>
      <c r="E20" s="9"/>
      <c r="F20" s="9"/>
      <c r="G20" s="8"/>
      <c r="H20" s="8"/>
      <c r="I20" s="8"/>
      <c r="J20" s="10" t="str">
        <f t="shared" si="1"/>
        <v/>
      </c>
      <c r="K20" s="11" t="str">
        <f>IF($B20="","",IF(COUNTIFS(#REF!,$C20,#REF!,$B20)&gt;0,"OK","NAME / ID MISMATCH"))</f>
        <v/>
      </c>
      <c r="L20" s="11" t="str">
        <f>IF($B20="","",IF(COUNTIFS(#REF!,$A20,#REF!,$D20,#REF!,$G20)&gt;0,"OK","INVALID SITE CODE"))</f>
        <v/>
      </c>
      <c r="M20" s="11" t="str">
        <f t="shared" si="2"/>
        <v/>
      </c>
      <c r="N20" s="11" t="str">
        <f t="shared" si="3"/>
        <v/>
      </c>
      <c r="O20" s="11" t="str">
        <f t="shared" si="4"/>
        <v/>
      </c>
      <c r="P20" s="11" t="str">
        <f t="shared" si="5"/>
        <v/>
      </c>
    </row>
    <row r="21" spans="1:16">
      <c r="A21" s="7"/>
      <c r="B21" s="8"/>
      <c r="C21" s="8"/>
      <c r="D21" s="8"/>
      <c r="E21" s="9"/>
      <c r="F21" s="9"/>
      <c r="G21" s="8"/>
      <c r="H21" s="8"/>
      <c r="I21" s="8"/>
      <c r="J21" s="10" t="str">
        <f t="shared" si="1"/>
        <v/>
      </c>
      <c r="K21" s="11" t="str">
        <f>IF($B21="","",IF(COUNTIFS(#REF!,$C21,#REF!,$B21)&gt;0,"OK","NAME / ID MISMATCH"))</f>
        <v/>
      </c>
      <c r="L21" s="11" t="str">
        <f>IF($B21="","",IF(COUNTIFS(#REF!,$A21,#REF!,$D21,#REF!,$G21)&gt;0,"OK","INVALID SITE CODE"))</f>
        <v/>
      </c>
      <c r="M21" s="11" t="str">
        <f t="shared" si="2"/>
        <v/>
      </c>
      <c r="N21" s="11" t="str">
        <f t="shared" si="3"/>
        <v/>
      </c>
      <c r="O21" s="11" t="str">
        <f t="shared" si="4"/>
        <v/>
      </c>
      <c r="P21" s="11" t="str">
        <f t="shared" si="5"/>
        <v/>
      </c>
    </row>
    <row r="22" spans="1:16">
      <c r="A22" s="7"/>
      <c r="B22" s="8"/>
      <c r="C22" s="8"/>
      <c r="D22" s="8"/>
      <c r="E22" s="9"/>
      <c r="F22" s="9"/>
      <c r="G22" s="8"/>
      <c r="H22" s="8"/>
      <c r="I22" s="8"/>
      <c r="J22" s="10" t="str">
        <f t="shared" si="1"/>
        <v/>
      </c>
      <c r="K22" s="11" t="str">
        <f>IF($B22="","",IF(COUNTIFS(#REF!,$C22,#REF!,$B22)&gt;0,"OK","NAME / ID MISMATCH"))</f>
        <v/>
      </c>
      <c r="L22" s="11" t="str">
        <f>IF($B22="","",IF(COUNTIFS(#REF!,$A22,#REF!,$D22,#REF!,$G22)&gt;0,"OK","INVALID SITE CODE"))</f>
        <v/>
      </c>
      <c r="M22" s="11" t="str">
        <f t="shared" si="2"/>
        <v/>
      </c>
      <c r="N22" s="11" t="str">
        <f t="shared" si="3"/>
        <v/>
      </c>
      <c r="O22" s="11" t="str">
        <f t="shared" si="4"/>
        <v/>
      </c>
      <c r="P22" s="11" t="str">
        <f t="shared" si="5"/>
        <v/>
      </c>
    </row>
    <row r="23" spans="1:16">
      <c r="A23" s="7"/>
      <c r="B23" s="8"/>
      <c r="C23" s="8"/>
      <c r="D23" s="8"/>
      <c r="E23" s="9"/>
      <c r="F23" s="9"/>
      <c r="G23" s="8"/>
      <c r="H23" s="8"/>
      <c r="I23" s="8"/>
      <c r="J23" s="10" t="str">
        <f t="shared" si="1"/>
        <v/>
      </c>
      <c r="K23" s="11" t="str">
        <f>IF($B23="","",IF(COUNTIFS(#REF!,$C23,#REF!,$B23)&gt;0,"OK","NAME / ID MISMATCH"))</f>
        <v/>
      </c>
      <c r="L23" s="11" t="str">
        <f>IF($B23="","",IF(COUNTIFS(#REF!,$A23,#REF!,$D23,#REF!,$G23)&gt;0,"OK","INVALID SITE CODE"))</f>
        <v/>
      </c>
      <c r="M23" s="11" t="str">
        <f t="shared" si="2"/>
        <v/>
      </c>
      <c r="N23" s="11" t="str">
        <f t="shared" si="3"/>
        <v/>
      </c>
      <c r="O23" s="11" t="str">
        <f t="shared" si="4"/>
        <v/>
      </c>
      <c r="P23" s="11" t="str">
        <f t="shared" si="5"/>
        <v/>
      </c>
    </row>
    <row r="24" spans="1:16">
      <c r="A24" s="7"/>
      <c r="B24" s="8"/>
      <c r="C24" s="8"/>
      <c r="D24" s="8"/>
      <c r="E24" s="9"/>
      <c r="F24" s="9"/>
      <c r="G24" s="8"/>
      <c r="H24" s="8"/>
      <c r="I24" s="8"/>
      <c r="J24" s="10" t="str">
        <f t="shared" si="1"/>
        <v/>
      </c>
      <c r="K24" s="11" t="str">
        <f>IF($B24="","",IF(COUNTIFS(#REF!,$C24,#REF!,$B24)&gt;0,"OK","NAME / ID MISMATCH"))</f>
        <v/>
      </c>
      <c r="L24" s="11" t="str">
        <f>IF($B24="","",IF(COUNTIFS(#REF!,$A24,#REF!,$D24,#REF!,$G24)&gt;0,"OK","INVALID SITE CODE"))</f>
        <v/>
      </c>
      <c r="M24" s="11" t="str">
        <f t="shared" si="2"/>
        <v/>
      </c>
      <c r="N24" s="11" t="str">
        <f t="shared" si="3"/>
        <v/>
      </c>
      <c r="O24" s="11" t="str">
        <f t="shared" si="4"/>
        <v/>
      </c>
      <c r="P24" s="11" t="str">
        <f t="shared" si="5"/>
        <v/>
      </c>
    </row>
    <row r="25" spans="1:16">
      <c r="A25" s="7"/>
      <c r="B25" s="8"/>
      <c r="C25" s="8"/>
      <c r="D25" s="8"/>
      <c r="E25" s="9"/>
      <c r="F25" s="9"/>
      <c r="G25" s="8"/>
      <c r="H25" s="8"/>
      <c r="I25" s="8"/>
      <c r="J25" s="10" t="str">
        <f t="shared" si="1"/>
        <v/>
      </c>
      <c r="K25" s="11" t="str">
        <f>IF($B25="","",IF(COUNTIFS(#REF!,$C25,#REF!,$B25)&gt;0,"OK","NAME / ID MISMATCH"))</f>
        <v/>
      </c>
      <c r="L25" s="11" t="str">
        <f>IF($B25="","",IF(COUNTIFS(#REF!,$A25,#REF!,$D25,#REF!,$G25)&gt;0,"OK","INVALID SITE CODE"))</f>
        <v/>
      </c>
      <c r="M25" s="11" t="str">
        <f t="shared" si="2"/>
        <v/>
      </c>
      <c r="N25" s="11" t="str">
        <f t="shared" si="3"/>
        <v/>
      </c>
      <c r="O25" s="11" t="str">
        <f t="shared" si="4"/>
        <v/>
      </c>
      <c r="P25" s="11" t="str">
        <f t="shared" si="5"/>
        <v/>
      </c>
    </row>
    <row r="26" spans="1:16">
      <c r="A26" s="7"/>
      <c r="B26" s="8"/>
      <c r="C26" s="8"/>
      <c r="D26" s="8"/>
      <c r="E26" s="9"/>
      <c r="F26" s="9"/>
      <c r="G26" s="8"/>
      <c r="H26" s="8"/>
      <c r="I26" s="8"/>
      <c r="J26" s="10" t="str">
        <f t="shared" si="1"/>
        <v/>
      </c>
      <c r="K26" s="11" t="str">
        <f>IF($B26="","",IF(COUNTIFS(#REF!,$C26,#REF!,$B26)&gt;0,"OK","NAME / ID MISMATCH"))</f>
        <v/>
      </c>
      <c r="L26" s="11" t="str">
        <f>IF($B26="","",IF(COUNTIFS(#REF!,$A26,#REF!,$D26,#REF!,$G26)&gt;0,"OK","INVALID SITE CODE"))</f>
        <v/>
      </c>
      <c r="M26" s="11" t="str">
        <f t="shared" si="2"/>
        <v/>
      </c>
      <c r="N26" s="11" t="str">
        <f t="shared" si="3"/>
        <v/>
      </c>
      <c r="O26" s="11" t="str">
        <f t="shared" si="4"/>
        <v/>
      </c>
      <c r="P26" s="11" t="str">
        <f t="shared" si="5"/>
        <v/>
      </c>
    </row>
    <row r="27" spans="1:16">
      <c r="A27" s="7"/>
      <c r="B27" s="8"/>
      <c r="C27" s="8"/>
      <c r="D27" s="8"/>
      <c r="E27" s="9"/>
      <c r="F27" s="9"/>
      <c r="G27" s="8"/>
      <c r="H27" s="8"/>
      <c r="I27" s="8"/>
      <c r="J27" s="10" t="str">
        <f t="shared" si="1"/>
        <v/>
      </c>
      <c r="K27" s="11" t="str">
        <f>IF($B27="","",IF(COUNTIFS(#REF!,$C27,#REF!,$B27)&gt;0,"OK","NAME / ID MISMATCH"))</f>
        <v/>
      </c>
      <c r="L27" s="11" t="str">
        <f>IF($B27="","",IF(COUNTIFS(#REF!,$A27,#REF!,$D27,#REF!,$G27)&gt;0,"OK","INVALID SITE CODE"))</f>
        <v/>
      </c>
      <c r="M27" s="11" t="str">
        <f t="shared" si="2"/>
        <v/>
      </c>
      <c r="N27" s="11" t="str">
        <f t="shared" si="3"/>
        <v/>
      </c>
      <c r="O27" s="11" t="str">
        <f t="shared" si="4"/>
        <v/>
      </c>
      <c r="P27" s="11" t="str">
        <f t="shared" si="5"/>
        <v/>
      </c>
    </row>
    <row r="28" spans="1:16">
      <c r="A28" s="7"/>
      <c r="B28" s="8"/>
      <c r="C28" s="8"/>
      <c r="D28" s="8"/>
      <c r="E28" s="9"/>
      <c r="F28" s="9"/>
      <c r="G28" s="8"/>
      <c r="H28" s="8"/>
      <c r="I28" s="8"/>
      <c r="J28" s="10" t="str">
        <f t="shared" si="1"/>
        <v/>
      </c>
      <c r="K28" s="11" t="str">
        <f>IF($B28="","",IF(COUNTIFS(#REF!,$C28,#REF!,$B28)&gt;0,"OK","NAME / ID MISMATCH"))</f>
        <v/>
      </c>
      <c r="L28" s="11" t="str">
        <f>IF($B28="","",IF(COUNTIFS(#REF!,$A28,#REF!,$D28,#REF!,$G28)&gt;0,"OK","INVALID SITE CODE"))</f>
        <v/>
      </c>
      <c r="M28" s="11" t="str">
        <f t="shared" si="2"/>
        <v/>
      </c>
      <c r="N28" s="11" t="str">
        <f t="shared" si="3"/>
        <v/>
      </c>
      <c r="O28" s="11" t="str">
        <f t="shared" si="4"/>
        <v/>
      </c>
      <c r="P28" s="11" t="str">
        <f t="shared" si="5"/>
        <v/>
      </c>
    </row>
    <row r="29" spans="1:16">
      <c r="A29" s="7"/>
      <c r="B29" s="8"/>
      <c r="C29" s="8"/>
      <c r="D29" s="8"/>
      <c r="E29" s="9"/>
      <c r="F29" s="9"/>
      <c r="G29" s="8"/>
      <c r="H29" s="8"/>
      <c r="I29" s="8"/>
      <c r="J29" s="10" t="str">
        <f t="shared" si="1"/>
        <v/>
      </c>
      <c r="K29" s="11" t="str">
        <f>IF($B29="","",IF(COUNTIFS(#REF!,$C29,#REF!,$B29)&gt;0,"OK","NAME / ID MISMATCH"))</f>
        <v/>
      </c>
      <c r="L29" s="11" t="str">
        <f>IF($B29="","",IF(COUNTIFS(#REF!,$A29,#REF!,$D29,#REF!,$G29)&gt;0,"OK","INVALID SITE CODE"))</f>
        <v/>
      </c>
      <c r="M29" s="11" t="str">
        <f t="shared" si="2"/>
        <v/>
      </c>
      <c r="N29" s="11" t="str">
        <f t="shared" si="3"/>
        <v/>
      </c>
      <c r="O29" s="11" t="str">
        <f t="shared" si="4"/>
        <v/>
      </c>
      <c r="P29" s="11" t="str">
        <f t="shared" si="5"/>
        <v/>
      </c>
    </row>
    <row r="30" spans="1:16">
      <c r="A30" s="7"/>
      <c r="B30" s="8"/>
      <c r="C30" s="8"/>
      <c r="D30" s="8"/>
      <c r="E30" s="9"/>
      <c r="F30" s="9"/>
      <c r="G30" s="8"/>
      <c r="H30" s="8"/>
      <c r="I30" s="8"/>
      <c r="J30" s="10" t="str">
        <f t="shared" si="1"/>
        <v/>
      </c>
      <c r="K30" s="11" t="str">
        <f>IF($B30="","",IF(COUNTIFS(#REF!,$C30,#REF!,$B30)&gt;0,"OK","NAME / ID MISMATCH"))</f>
        <v/>
      </c>
      <c r="L30" s="11" t="str">
        <f>IF($B30="","",IF(COUNTIFS(#REF!,$A30,#REF!,$D30,#REF!,$G30)&gt;0,"OK","INVALID SITE CODE"))</f>
        <v/>
      </c>
      <c r="M30" s="11" t="str">
        <f t="shared" si="2"/>
        <v/>
      </c>
      <c r="N30" s="11" t="str">
        <f t="shared" si="3"/>
        <v/>
      </c>
      <c r="O30" s="11" t="str">
        <f t="shared" si="4"/>
        <v/>
      </c>
      <c r="P30" s="11" t="str">
        <f t="shared" si="5"/>
        <v/>
      </c>
    </row>
    <row r="31" spans="1:16">
      <c r="A31" s="7"/>
      <c r="B31" s="8"/>
      <c r="C31" s="8"/>
      <c r="D31" s="8"/>
      <c r="E31" s="9"/>
      <c r="F31" s="9"/>
      <c r="G31" s="8"/>
      <c r="H31" s="8"/>
      <c r="I31" s="8"/>
      <c r="J31" s="10" t="str">
        <f t="shared" si="1"/>
        <v/>
      </c>
      <c r="K31" s="11" t="str">
        <f>IF($B31="","",IF(COUNTIFS(#REF!,$C31,#REF!,$B31)&gt;0,"OK","NAME / ID MISMATCH"))</f>
        <v/>
      </c>
      <c r="L31" s="11" t="str">
        <f>IF($B31="","",IF(COUNTIFS(#REF!,$A31,#REF!,$D31,#REF!,$G31)&gt;0,"OK","INVALID SITE CODE"))</f>
        <v/>
      </c>
      <c r="M31" s="11" t="str">
        <f t="shared" si="2"/>
        <v/>
      </c>
      <c r="N31" s="11" t="str">
        <f t="shared" si="3"/>
        <v/>
      </c>
      <c r="O31" s="11" t="str">
        <f t="shared" si="4"/>
        <v/>
      </c>
      <c r="P31" s="11" t="str">
        <f t="shared" si="5"/>
        <v/>
      </c>
    </row>
    <row r="32" spans="1:16">
      <c r="A32" s="7"/>
      <c r="B32" s="8"/>
      <c r="C32" s="8"/>
      <c r="D32" s="8"/>
      <c r="E32" s="9"/>
      <c r="F32" s="9"/>
      <c r="G32" s="8"/>
      <c r="H32" s="8"/>
      <c r="I32" s="8"/>
      <c r="J32" s="10" t="str">
        <f t="shared" si="1"/>
        <v/>
      </c>
      <c r="K32" s="11" t="str">
        <f>IF($B32="","",IF(COUNTIFS(#REF!,$C32,#REF!,$B32)&gt;0,"OK","NAME / ID MISMATCH"))</f>
        <v/>
      </c>
      <c r="L32" s="11" t="str">
        <f>IF($B32="","",IF(COUNTIFS(#REF!,$A32,#REF!,$D32,#REF!,$G32)&gt;0,"OK","INVALID SITE CODE"))</f>
        <v/>
      </c>
      <c r="M32" s="11" t="str">
        <f t="shared" si="2"/>
        <v/>
      </c>
      <c r="N32" s="11" t="str">
        <f t="shared" si="3"/>
        <v/>
      </c>
      <c r="O32" s="11" t="str">
        <f t="shared" si="4"/>
        <v/>
      </c>
      <c r="P32" s="11" t="str">
        <f t="shared" si="5"/>
        <v/>
      </c>
    </row>
    <row r="33" spans="1:16">
      <c r="A33" s="7"/>
      <c r="B33" s="8"/>
      <c r="C33" s="8"/>
      <c r="D33" s="8"/>
      <c r="E33" s="9"/>
      <c r="F33" s="9"/>
      <c r="G33" s="8"/>
      <c r="H33" s="8"/>
      <c r="I33" s="8"/>
      <c r="J33" s="10" t="str">
        <f t="shared" si="1"/>
        <v/>
      </c>
      <c r="K33" s="11" t="str">
        <f>IF($B33="","",IF(COUNTIFS(#REF!,$C33,#REF!,$B33)&gt;0,"OK","NAME / ID MISMATCH"))</f>
        <v/>
      </c>
      <c r="L33" s="11" t="str">
        <f>IF($B33="","",IF(COUNTIFS(#REF!,$A33,#REF!,$D33,#REF!,$G33)&gt;0,"OK","INVALID SITE CODE"))</f>
        <v/>
      </c>
      <c r="M33" s="11" t="str">
        <f t="shared" si="2"/>
        <v/>
      </c>
      <c r="N33" s="11" t="str">
        <f t="shared" si="3"/>
        <v/>
      </c>
      <c r="O33" s="11" t="str">
        <f t="shared" si="4"/>
        <v/>
      </c>
      <c r="P33" s="11" t="str">
        <f t="shared" si="5"/>
        <v/>
      </c>
    </row>
    <row r="34" spans="1:16">
      <c r="A34" s="7"/>
      <c r="B34" s="8"/>
      <c r="C34" s="8"/>
      <c r="D34" s="8"/>
      <c r="E34" s="9"/>
      <c r="F34" s="9"/>
      <c r="G34" s="8"/>
      <c r="H34" s="8"/>
      <c r="I34" s="8"/>
      <c r="J34" s="10" t="str">
        <f t="shared" si="1"/>
        <v/>
      </c>
      <c r="K34" s="11" t="str">
        <f>IF($B34="","",IF(COUNTIFS(#REF!,$C34,#REF!,$B34)&gt;0,"OK","NAME / ID MISMATCH"))</f>
        <v/>
      </c>
      <c r="L34" s="11" t="str">
        <f>IF($B34="","",IF(COUNTIFS(#REF!,$A34,#REF!,$D34,#REF!,$G34)&gt;0,"OK","INVALID SITE CODE"))</f>
        <v/>
      </c>
      <c r="M34" s="11" t="str">
        <f t="shared" si="2"/>
        <v/>
      </c>
      <c r="N34" s="11" t="str">
        <f t="shared" si="3"/>
        <v/>
      </c>
      <c r="O34" s="11" t="str">
        <f t="shared" si="4"/>
        <v/>
      </c>
      <c r="P34" s="11" t="str">
        <f t="shared" si="5"/>
        <v/>
      </c>
    </row>
    <row r="35" spans="1:16">
      <c r="A35" s="7"/>
      <c r="B35" s="8"/>
      <c r="C35" s="8"/>
      <c r="D35" s="8"/>
      <c r="E35" s="9"/>
      <c r="F35" s="9"/>
      <c r="G35" s="8"/>
      <c r="H35" s="8"/>
      <c r="I35" s="8"/>
      <c r="J35" s="10" t="str">
        <f t="shared" si="1"/>
        <v/>
      </c>
      <c r="K35" s="11" t="str">
        <f>IF($B35="","",IF(COUNTIFS(#REF!,$C35,#REF!,$B35)&gt;0,"OK","NAME / ID MISMATCH"))</f>
        <v/>
      </c>
      <c r="L35" s="11" t="str">
        <f>IF($B35="","",IF(COUNTIFS(#REF!,$A35,#REF!,$D35,#REF!,$G35)&gt;0,"OK","INVALID SITE CODE"))</f>
        <v/>
      </c>
      <c r="M35" s="11" t="str">
        <f t="shared" si="2"/>
        <v/>
      </c>
      <c r="N35" s="11" t="str">
        <f t="shared" si="3"/>
        <v/>
      </c>
      <c r="O35" s="11" t="str">
        <f t="shared" si="4"/>
        <v/>
      </c>
      <c r="P35" s="11" t="str">
        <f t="shared" si="5"/>
        <v/>
      </c>
    </row>
    <row r="36" spans="1:16">
      <c r="A36" s="7"/>
      <c r="B36" s="8"/>
      <c r="C36" s="8"/>
      <c r="D36" s="8"/>
      <c r="E36" s="9"/>
      <c r="F36" s="9"/>
      <c r="G36" s="8"/>
      <c r="H36" s="8"/>
      <c r="I36" s="8"/>
      <c r="J36" s="10" t="str">
        <f t="shared" si="1"/>
        <v/>
      </c>
      <c r="K36" s="11" t="str">
        <f>IF($B36="","",IF(COUNTIFS(#REF!,$C36,#REF!,$B36)&gt;0,"OK","NAME / ID MISMATCH"))</f>
        <v/>
      </c>
      <c r="L36" s="11" t="str">
        <f>IF($B36="","",IF(COUNTIFS(#REF!,$A36,#REF!,$D36,#REF!,$G36)&gt;0,"OK","INVALID SITE CODE"))</f>
        <v/>
      </c>
      <c r="M36" s="11" t="str">
        <f t="shared" si="2"/>
        <v/>
      </c>
      <c r="N36" s="11" t="str">
        <f t="shared" si="3"/>
        <v/>
      </c>
      <c r="O36" s="11" t="str">
        <f t="shared" si="4"/>
        <v/>
      </c>
      <c r="P36" s="11" t="str">
        <f t="shared" si="5"/>
        <v/>
      </c>
    </row>
    <row r="37" spans="1:16">
      <c r="A37" s="7"/>
      <c r="B37" s="8"/>
      <c r="C37" s="8"/>
      <c r="D37" s="8"/>
      <c r="E37" s="9"/>
      <c r="F37" s="9"/>
      <c r="G37" s="8"/>
      <c r="H37" s="8"/>
      <c r="I37" s="8"/>
      <c r="J37" s="10" t="str">
        <f t="shared" si="1"/>
        <v/>
      </c>
      <c r="K37" s="11" t="str">
        <f>IF($B37="","",IF(COUNTIFS(#REF!,$C37,#REF!,$B37)&gt;0,"OK","NAME / ID MISMATCH"))</f>
        <v/>
      </c>
      <c r="L37" s="11" t="str">
        <f>IF($B37="","",IF(COUNTIFS(#REF!,$A37,#REF!,$D37,#REF!,$G37)&gt;0,"OK","INVALID SITE CODE"))</f>
        <v/>
      </c>
      <c r="M37" s="11" t="str">
        <f t="shared" si="2"/>
        <v/>
      </c>
      <c r="N37" s="11" t="str">
        <f t="shared" si="3"/>
        <v/>
      </c>
      <c r="O37" s="11" t="str">
        <f t="shared" si="4"/>
        <v/>
      </c>
      <c r="P37" s="11" t="str">
        <f t="shared" si="5"/>
        <v/>
      </c>
    </row>
    <row r="38" spans="1:16">
      <c r="A38" s="7"/>
      <c r="B38" s="8"/>
      <c r="C38" s="8"/>
      <c r="D38" s="8"/>
      <c r="E38" s="9"/>
      <c r="F38" s="9"/>
      <c r="G38" s="8"/>
      <c r="H38" s="8"/>
      <c r="I38" s="8"/>
      <c r="J38" s="10" t="str">
        <f t="shared" si="1"/>
        <v/>
      </c>
      <c r="K38" s="11" t="str">
        <f>IF($B38="","",IF(COUNTIFS(#REF!,$C38,#REF!,$B38)&gt;0,"OK","NAME / ID MISMATCH"))</f>
        <v/>
      </c>
      <c r="L38" s="11" t="str">
        <f>IF($B38="","",IF(COUNTIFS(#REF!,$A38,#REF!,$D38,#REF!,$G38)&gt;0,"OK","INVALID SITE CODE"))</f>
        <v/>
      </c>
      <c r="M38" s="11" t="str">
        <f t="shared" si="2"/>
        <v/>
      </c>
      <c r="N38" s="11" t="str">
        <f t="shared" si="3"/>
        <v/>
      </c>
      <c r="O38" s="11" t="str">
        <f t="shared" si="4"/>
        <v/>
      </c>
      <c r="P38" s="11" t="str">
        <f t="shared" si="5"/>
        <v/>
      </c>
    </row>
    <row r="39" spans="1:16">
      <c r="A39" s="7"/>
      <c r="B39" s="8"/>
      <c r="C39" s="8"/>
      <c r="D39" s="8"/>
      <c r="E39" s="9"/>
      <c r="F39" s="9"/>
      <c r="G39" s="8"/>
      <c r="H39" s="8"/>
      <c r="I39" s="8"/>
      <c r="J39" s="10" t="str">
        <f t="shared" si="1"/>
        <v/>
      </c>
      <c r="K39" s="11" t="str">
        <f>IF($B39="","",IF(COUNTIFS(#REF!,$C39,#REF!,$B39)&gt;0,"OK","NAME / ID MISMATCH"))</f>
        <v/>
      </c>
      <c r="L39" s="11" t="str">
        <f>IF($B39="","",IF(COUNTIFS(#REF!,$A39,#REF!,$D39,#REF!,$G39)&gt;0,"OK","INVALID SITE CODE"))</f>
        <v/>
      </c>
      <c r="M39" s="11" t="str">
        <f t="shared" si="2"/>
        <v/>
      </c>
      <c r="N39" s="11" t="str">
        <f t="shared" si="3"/>
        <v/>
      </c>
      <c r="O39" s="11" t="str">
        <f t="shared" si="4"/>
        <v/>
      </c>
      <c r="P39" s="11" t="str">
        <f t="shared" si="5"/>
        <v/>
      </c>
    </row>
    <row r="40" spans="1:16">
      <c r="A40" s="7"/>
      <c r="B40" s="8"/>
      <c r="C40" s="8"/>
      <c r="D40" s="8"/>
      <c r="E40" s="9"/>
      <c r="F40" s="9"/>
      <c r="G40" s="8"/>
      <c r="H40" s="8"/>
      <c r="I40" s="8"/>
      <c r="J40" s="10" t="str">
        <f t="shared" si="1"/>
        <v/>
      </c>
      <c r="K40" s="11" t="str">
        <f>IF($B40="","",IF(COUNTIFS(#REF!,$C40,#REF!,$B40)&gt;0,"OK","NAME / ID MISMATCH"))</f>
        <v/>
      </c>
      <c r="L40" s="11" t="str">
        <f>IF($B40="","",IF(COUNTIFS(#REF!,$A40,#REF!,$D40,#REF!,$G40)&gt;0,"OK","INVALID SITE CODE"))</f>
        <v/>
      </c>
      <c r="M40" s="11" t="str">
        <f t="shared" si="2"/>
        <v/>
      </c>
      <c r="N40" s="11" t="str">
        <f t="shared" si="3"/>
        <v/>
      </c>
      <c r="O40" s="11" t="str">
        <f t="shared" si="4"/>
        <v/>
      </c>
      <c r="P40" s="11" t="str">
        <f t="shared" si="5"/>
        <v/>
      </c>
    </row>
    <row r="41" spans="1:16">
      <c r="A41" s="7"/>
      <c r="B41" s="8"/>
      <c r="C41" s="8"/>
      <c r="D41" s="8"/>
      <c r="E41" s="9"/>
      <c r="F41" s="9"/>
      <c r="G41" s="8"/>
      <c r="H41" s="8"/>
      <c r="I41" s="8"/>
      <c r="J41" s="10" t="str">
        <f t="shared" si="1"/>
        <v/>
      </c>
      <c r="K41" s="11" t="str">
        <f>IF($B41="","",IF(COUNTIFS(#REF!,$C41,#REF!,$B41)&gt;0,"OK","NAME / ID MISMATCH"))</f>
        <v/>
      </c>
      <c r="L41" s="11" t="str">
        <f>IF($B41="","",IF(COUNTIFS(#REF!,$A41,#REF!,$D41,#REF!,$G41)&gt;0,"OK","INVALID SITE CODE"))</f>
        <v/>
      </c>
      <c r="M41" s="11" t="str">
        <f t="shared" si="2"/>
        <v/>
      </c>
      <c r="N41" s="11" t="str">
        <f t="shared" si="3"/>
        <v/>
      </c>
      <c r="O41" s="11" t="str">
        <f t="shared" si="4"/>
        <v/>
      </c>
      <c r="P41" s="11" t="str">
        <f t="shared" si="5"/>
        <v/>
      </c>
    </row>
    <row r="42" spans="1:16">
      <c r="A42" s="7"/>
      <c r="B42" s="8"/>
      <c r="C42" s="8"/>
      <c r="D42" s="8"/>
      <c r="E42" s="9"/>
      <c r="F42" s="9"/>
      <c r="G42" s="8"/>
      <c r="H42" s="8"/>
      <c r="I42" s="8"/>
      <c r="J42" s="10" t="str">
        <f t="shared" si="1"/>
        <v/>
      </c>
      <c r="K42" s="11" t="str">
        <f>IF($B42="","",IF(COUNTIFS(#REF!,$C42,#REF!,$B42)&gt;0,"OK","NAME / ID MISMATCH"))</f>
        <v/>
      </c>
      <c r="L42" s="11" t="str">
        <f>IF($B42="","",IF(COUNTIFS(#REF!,$A42,#REF!,$D42,#REF!,$G42)&gt;0,"OK","INVALID SITE CODE"))</f>
        <v/>
      </c>
      <c r="M42" s="11" t="str">
        <f t="shared" si="2"/>
        <v/>
      </c>
      <c r="N42" s="11" t="str">
        <f t="shared" si="3"/>
        <v/>
      </c>
      <c r="O42" s="11" t="str">
        <f t="shared" si="4"/>
        <v/>
      </c>
      <c r="P42" s="11" t="str">
        <f t="shared" si="5"/>
        <v/>
      </c>
    </row>
    <row r="43" spans="1:16">
      <c r="A43" s="7"/>
      <c r="B43" s="8"/>
      <c r="C43" s="8"/>
      <c r="D43" s="8"/>
      <c r="E43" s="9"/>
      <c r="F43" s="9"/>
      <c r="G43" s="8"/>
      <c r="H43" s="8"/>
      <c r="I43" s="8"/>
      <c r="J43" s="10" t="str">
        <f t="shared" si="1"/>
        <v/>
      </c>
      <c r="K43" s="11" t="str">
        <f>IF($B43="","",IF(COUNTIFS(#REF!,$C43,#REF!,$B43)&gt;0,"OK","NAME / ID MISMATCH"))</f>
        <v/>
      </c>
      <c r="L43" s="11" t="str">
        <f>IF($B43="","",IF(COUNTIFS(#REF!,$A43,#REF!,$D43,#REF!,$G43)&gt;0,"OK","INVALID SITE CODE"))</f>
        <v/>
      </c>
      <c r="M43" s="11" t="str">
        <f t="shared" si="2"/>
        <v/>
      </c>
      <c r="N43" s="11" t="str">
        <f t="shared" si="3"/>
        <v/>
      </c>
      <c r="O43" s="11" t="str">
        <f t="shared" si="4"/>
        <v/>
      </c>
      <c r="P43" s="11" t="str">
        <f t="shared" si="5"/>
        <v/>
      </c>
    </row>
    <row r="44" spans="1:16">
      <c r="A44" s="7"/>
      <c r="B44" s="8"/>
      <c r="C44" s="8"/>
      <c r="D44" s="8"/>
      <c r="E44" s="9"/>
      <c r="F44" s="9"/>
      <c r="G44" s="8"/>
      <c r="H44" s="8"/>
      <c r="I44" s="8"/>
      <c r="J44" s="10" t="str">
        <f t="shared" si="1"/>
        <v/>
      </c>
      <c r="K44" s="11" t="str">
        <f>IF($B44="","",IF(COUNTIFS(#REF!,$C44,#REF!,$B44)&gt;0,"OK","NAME / ID MISMATCH"))</f>
        <v/>
      </c>
      <c r="L44" s="11" t="str">
        <f>IF($B44="","",IF(COUNTIFS(#REF!,$A44,#REF!,$D44,#REF!,$G44)&gt;0,"OK","INVALID SITE CODE"))</f>
        <v/>
      </c>
      <c r="M44" s="11" t="str">
        <f t="shared" si="2"/>
        <v/>
      </c>
      <c r="N44" s="11" t="str">
        <f t="shared" si="3"/>
        <v/>
      </c>
      <c r="O44" s="11" t="str">
        <f t="shared" si="4"/>
        <v/>
      </c>
      <c r="P44" s="11" t="str">
        <f t="shared" si="5"/>
        <v/>
      </c>
    </row>
    <row r="45" spans="1:16">
      <c r="A45" s="7"/>
      <c r="B45" s="8"/>
      <c r="C45" s="8"/>
      <c r="D45" s="8"/>
      <c r="E45" s="9"/>
      <c r="F45" s="9"/>
      <c r="G45" s="8"/>
      <c r="H45" s="8"/>
      <c r="I45" s="8"/>
      <c r="J45" s="10" t="str">
        <f t="shared" si="1"/>
        <v/>
      </c>
      <c r="K45" s="11" t="str">
        <f>IF($B45="","",IF(COUNTIFS(#REF!,$C45,#REF!,$B45)&gt;0,"OK","NAME / ID MISMATCH"))</f>
        <v/>
      </c>
      <c r="L45" s="11" t="str">
        <f>IF($B45="","",IF(COUNTIFS(#REF!,$A45,#REF!,$D45,#REF!,$G45)&gt;0,"OK","INVALID SITE CODE"))</f>
        <v/>
      </c>
      <c r="M45" s="11" t="str">
        <f t="shared" si="2"/>
        <v/>
      </c>
      <c r="N45" s="11" t="str">
        <f t="shared" si="3"/>
        <v/>
      </c>
      <c r="O45" s="11" t="str">
        <f t="shared" si="4"/>
        <v/>
      </c>
      <c r="P45" s="11" t="str">
        <f t="shared" si="5"/>
        <v/>
      </c>
    </row>
    <row r="46" spans="1:16">
      <c r="A46" s="7"/>
      <c r="B46" s="8"/>
      <c r="C46" s="8"/>
      <c r="D46" s="8"/>
      <c r="E46" s="9"/>
      <c r="F46" s="9"/>
      <c r="G46" s="8"/>
      <c r="H46" s="8"/>
      <c r="I46" s="8"/>
      <c r="J46" s="10" t="str">
        <f t="shared" si="1"/>
        <v/>
      </c>
      <c r="K46" s="11" t="str">
        <f>IF($B46="","",IF(COUNTIFS(#REF!,$C46,#REF!,$B46)&gt;0,"OK","NAME / ID MISMATCH"))</f>
        <v/>
      </c>
      <c r="L46" s="11" t="str">
        <f>IF($B46="","",IF(COUNTIFS(#REF!,$A46,#REF!,$D46,#REF!,$G46)&gt;0,"OK","INVALID SITE CODE"))</f>
        <v/>
      </c>
      <c r="M46" s="11" t="str">
        <f t="shared" si="2"/>
        <v/>
      </c>
      <c r="N46" s="11" t="str">
        <f t="shared" si="3"/>
        <v/>
      </c>
      <c r="O46" s="11" t="str">
        <f t="shared" si="4"/>
        <v/>
      </c>
      <c r="P46" s="11" t="str">
        <f t="shared" si="5"/>
        <v/>
      </c>
    </row>
    <row r="47" spans="1:16">
      <c r="A47" s="7"/>
      <c r="B47" s="8"/>
      <c r="C47" s="8"/>
      <c r="D47" s="8"/>
      <c r="E47" s="9"/>
      <c r="F47" s="9"/>
      <c r="G47" s="8"/>
      <c r="H47" s="8"/>
      <c r="I47" s="8"/>
      <c r="J47" s="10" t="str">
        <f t="shared" si="1"/>
        <v/>
      </c>
      <c r="K47" s="11" t="str">
        <f>IF($B47="","",IF(COUNTIFS(#REF!,$C47,#REF!,$B47)&gt;0,"OK","NAME / ID MISMATCH"))</f>
        <v/>
      </c>
      <c r="L47" s="11" t="str">
        <f>IF($B47="","",IF(COUNTIFS(#REF!,$A47,#REF!,$D47,#REF!,$G47)&gt;0,"OK","INVALID SITE CODE"))</f>
        <v/>
      </c>
      <c r="M47" s="11" t="str">
        <f t="shared" si="2"/>
        <v/>
      </c>
      <c r="N47" s="11" t="str">
        <f t="shared" si="3"/>
        <v/>
      </c>
      <c r="O47" s="11" t="str">
        <f t="shared" si="4"/>
        <v/>
      </c>
      <c r="P47" s="11" t="str">
        <f t="shared" si="5"/>
        <v/>
      </c>
    </row>
    <row r="48" spans="1:16">
      <c r="A48" s="7"/>
      <c r="B48" s="8"/>
      <c r="C48" s="8"/>
      <c r="D48" s="8"/>
      <c r="E48" s="9"/>
      <c r="F48" s="9"/>
      <c r="G48" s="8"/>
      <c r="H48" s="8"/>
      <c r="I48" s="8"/>
      <c r="J48" s="10" t="str">
        <f t="shared" si="1"/>
        <v/>
      </c>
      <c r="K48" s="11" t="str">
        <f>IF($B48="","",IF(COUNTIFS(#REF!,$C48,#REF!,$B48)&gt;0,"OK","NAME / ID MISMATCH"))</f>
        <v/>
      </c>
      <c r="L48" s="11" t="str">
        <f>IF($B48="","",IF(COUNTIFS(#REF!,$A48,#REF!,$D48,#REF!,$G48)&gt;0,"OK","INVALID SITE CODE"))</f>
        <v/>
      </c>
      <c r="M48" s="11" t="str">
        <f t="shared" si="2"/>
        <v/>
      </c>
      <c r="N48" s="11" t="str">
        <f t="shared" si="3"/>
        <v/>
      </c>
      <c r="O48" s="11" t="str">
        <f t="shared" si="4"/>
        <v/>
      </c>
      <c r="P48" s="11" t="str">
        <f t="shared" si="5"/>
        <v/>
      </c>
    </row>
    <row r="49" spans="1:16">
      <c r="A49" s="7"/>
      <c r="B49" s="8"/>
      <c r="C49" s="8"/>
      <c r="D49" s="8"/>
      <c r="E49" s="9"/>
      <c r="F49" s="9"/>
      <c r="G49" s="8"/>
      <c r="H49" s="8"/>
      <c r="I49" s="8"/>
      <c r="J49" s="10" t="str">
        <f t="shared" si="1"/>
        <v/>
      </c>
      <c r="K49" s="11" t="str">
        <f>IF($B49="","",IF(COUNTIFS(#REF!,$C49,#REF!,$B49)&gt;0,"OK","NAME / ID MISMATCH"))</f>
        <v/>
      </c>
      <c r="L49" s="11" t="str">
        <f>IF($B49="","",IF(COUNTIFS(#REF!,$A49,#REF!,$D49,#REF!,$G49)&gt;0,"OK","INVALID SITE CODE"))</f>
        <v/>
      </c>
      <c r="M49" s="11" t="str">
        <f t="shared" si="2"/>
        <v/>
      </c>
      <c r="N49" s="11" t="str">
        <f t="shared" si="3"/>
        <v/>
      </c>
      <c r="O49" s="11" t="str">
        <f t="shared" si="4"/>
        <v/>
      </c>
      <c r="P49" s="11" t="str">
        <f t="shared" si="5"/>
        <v/>
      </c>
    </row>
    <row r="50" spans="1:16">
      <c r="A50" s="7"/>
      <c r="B50" s="8"/>
      <c r="C50" s="8"/>
      <c r="D50" s="8"/>
      <c r="E50" s="9"/>
      <c r="F50" s="9"/>
      <c r="G50" s="8"/>
      <c r="H50" s="8"/>
      <c r="I50" s="8"/>
      <c r="J50" s="10" t="str">
        <f t="shared" si="1"/>
        <v/>
      </c>
      <c r="K50" s="11" t="str">
        <f>IF($B50="","",IF(COUNTIFS(#REF!,$C50,#REF!,$B50)&gt;0,"OK","NAME / ID MISMATCH"))</f>
        <v/>
      </c>
      <c r="L50" s="11" t="str">
        <f>IF($B50="","",IF(COUNTIFS(#REF!,$A50,#REF!,$D50,#REF!,$G50)&gt;0,"OK","INVALID SITE CODE"))</f>
        <v/>
      </c>
      <c r="M50" s="11" t="str">
        <f t="shared" si="2"/>
        <v/>
      </c>
      <c r="N50" s="11" t="str">
        <f t="shared" si="3"/>
        <v/>
      </c>
      <c r="O50" s="11" t="str">
        <f t="shared" si="4"/>
        <v/>
      </c>
      <c r="P50" s="11" t="str">
        <f t="shared" si="5"/>
        <v/>
      </c>
    </row>
    <row r="51" spans="1:16">
      <c r="A51" s="7"/>
      <c r="B51" s="8"/>
      <c r="C51" s="8"/>
      <c r="D51" s="8"/>
      <c r="E51" s="9"/>
      <c r="F51" s="9"/>
      <c r="G51" s="8"/>
      <c r="H51" s="8"/>
      <c r="I51" s="8"/>
      <c r="J51" s="10" t="str">
        <f t="shared" si="1"/>
        <v/>
      </c>
      <c r="K51" s="11" t="str">
        <f>IF($B51="","",IF(COUNTIFS(#REF!,$C51,#REF!,$B51)&gt;0,"OK","NAME / ID MISMATCH"))</f>
        <v/>
      </c>
      <c r="L51" s="11" t="str">
        <f>IF($B51="","",IF(COUNTIFS(#REF!,$A51,#REF!,$D51,#REF!,$G51)&gt;0,"OK","INVALID SITE CODE"))</f>
        <v/>
      </c>
      <c r="M51" s="11" t="str">
        <f t="shared" si="2"/>
        <v/>
      </c>
      <c r="N51" s="11" t="str">
        <f t="shared" si="3"/>
        <v/>
      </c>
      <c r="O51" s="11" t="str">
        <f t="shared" si="4"/>
        <v/>
      </c>
      <c r="P51" s="11" t="str">
        <f t="shared" si="5"/>
        <v/>
      </c>
    </row>
    <row r="52" spans="1:16">
      <c r="A52" s="7"/>
      <c r="B52" s="8"/>
      <c r="C52" s="8"/>
      <c r="D52" s="8"/>
      <c r="E52" s="9"/>
      <c r="F52" s="9"/>
      <c r="G52" s="8"/>
      <c r="H52" s="8"/>
      <c r="I52" s="8"/>
      <c r="J52" s="10" t="str">
        <f t="shared" si="1"/>
        <v/>
      </c>
      <c r="K52" s="11" t="str">
        <f>IF($B52="","",IF(COUNTIFS(#REF!,$C52,#REF!,$B52)&gt;0,"OK","NAME / ID MISMATCH"))</f>
        <v/>
      </c>
      <c r="L52" s="11" t="str">
        <f>IF($B52="","",IF(COUNTIFS(#REF!,$A52,#REF!,$D52,#REF!,$G52)&gt;0,"OK","INVALID SITE CODE"))</f>
        <v/>
      </c>
      <c r="M52" s="11" t="str">
        <f t="shared" si="2"/>
        <v/>
      </c>
      <c r="N52" s="11" t="str">
        <f t="shared" si="3"/>
        <v/>
      </c>
      <c r="O52" s="11" t="str">
        <f t="shared" si="4"/>
        <v/>
      </c>
      <c r="P52" s="11" t="str">
        <f t="shared" si="5"/>
        <v/>
      </c>
    </row>
    <row r="53" spans="1:16">
      <c r="A53" s="7"/>
      <c r="B53" s="8"/>
      <c r="C53" s="8"/>
      <c r="D53" s="8"/>
      <c r="E53" s="9"/>
      <c r="F53" s="9"/>
      <c r="G53" s="8"/>
      <c r="H53" s="8"/>
      <c r="I53" s="8"/>
      <c r="J53" s="10" t="str">
        <f t="shared" si="1"/>
        <v/>
      </c>
      <c r="K53" s="11" t="str">
        <f>IF($B53="","",IF(COUNTIFS(#REF!,$C53,#REF!,$B53)&gt;0,"OK","NAME / ID MISMATCH"))</f>
        <v/>
      </c>
      <c r="L53" s="11" t="str">
        <f>IF($B53="","",IF(COUNTIFS(#REF!,$A53,#REF!,$D53,#REF!,$G53)&gt;0,"OK","INVALID SITE CODE"))</f>
        <v/>
      </c>
      <c r="M53" s="11" t="str">
        <f t="shared" si="2"/>
        <v/>
      </c>
      <c r="N53" s="11" t="str">
        <f t="shared" si="3"/>
        <v/>
      </c>
      <c r="O53" s="11" t="str">
        <f t="shared" si="4"/>
        <v/>
      </c>
      <c r="P53" s="11" t="str">
        <f t="shared" si="5"/>
        <v/>
      </c>
    </row>
    <row r="54" spans="1:16">
      <c r="A54" s="7"/>
      <c r="B54" s="8"/>
      <c r="C54" s="8"/>
      <c r="D54" s="8"/>
      <c r="E54" s="9"/>
      <c r="F54" s="9"/>
      <c r="G54" s="8"/>
      <c r="H54" s="8"/>
      <c r="I54" s="8"/>
      <c r="J54" s="10" t="str">
        <f t="shared" si="1"/>
        <v/>
      </c>
      <c r="K54" s="11" t="str">
        <f>IF($B54="","",IF(COUNTIFS(#REF!,$C54,#REF!,$B54)&gt;0,"OK","NAME / ID MISMATCH"))</f>
        <v/>
      </c>
      <c r="L54" s="11" t="str">
        <f>IF($B54="","",IF(COUNTIFS(#REF!,$A54,#REF!,$D54,#REF!,$G54)&gt;0,"OK","INVALID SITE CODE"))</f>
        <v/>
      </c>
      <c r="M54" s="11" t="str">
        <f t="shared" si="2"/>
        <v/>
      </c>
      <c r="N54" s="11" t="str">
        <f t="shared" si="3"/>
        <v/>
      </c>
      <c r="O54" s="11" t="str">
        <f t="shared" si="4"/>
        <v/>
      </c>
      <c r="P54" s="11" t="str">
        <f t="shared" si="5"/>
        <v/>
      </c>
    </row>
    <row r="55" spans="1:16">
      <c r="A55" s="7"/>
      <c r="B55" s="8"/>
      <c r="C55" s="8"/>
      <c r="D55" s="8"/>
      <c r="E55" s="9"/>
      <c r="F55" s="9"/>
      <c r="G55" s="8"/>
      <c r="H55" s="8"/>
      <c r="I55" s="8"/>
      <c r="J55" s="10" t="str">
        <f t="shared" si="1"/>
        <v/>
      </c>
      <c r="K55" s="11" t="str">
        <f>IF($B55="","",IF(COUNTIFS(#REF!,$C55,#REF!,$B55)&gt;0,"OK","NAME / ID MISMATCH"))</f>
        <v/>
      </c>
      <c r="L55" s="11" t="str">
        <f>IF($B55="","",IF(COUNTIFS(#REF!,$A55,#REF!,$D55,#REF!,$G55)&gt;0,"OK","INVALID SITE CODE"))</f>
        <v/>
      </c>
      <c r="M55" s="11" t="str">
        <f t="shared" si="2"/>
        <v/>
      </c>
      <c r="N55" s="11" t="str">
        <f t="shared" si="3"/>
        <v/>
      </c>
      <c r="O55" s="11" t="str">
        <f t="shared" si="4"/>
        <v/>
      </c>
      <c r="P55" s="11" t="str">
        <f t="shared" si="5"/>
        <v/>
      </c>
    </row>
    <row r="56" spans="1:16">
      <c r="A56" s="7"/>
      <c r="B56" s="8"/>
      <c r="C56" s="8"/>
      <c r="D56" s="8"/>
      <c r="E56" s="9"/>
      <c r="F56" s="9"/>
      <c r="G56" s="8"/>
      <c r="H56" s="8"/>
      <c r="I56" s="8"/>
      <c r="J56" s="10" t="str">
        <f t="shared" si="1"/>
        <v/>
      </c>
      <c r="K56" s="11" t="str">
        <f>IF($B56="","",IF(COUNTIFS(#REF!,$C56,#REF!,$B56)&gt;0,"OK","NAME / ID MISMATCH"))</f>
        <v/>
      </c>
      <c r="L56" s="11" t="str">
        <f>IF($B56="","",IF(COUNTIFS(#REF!,$A56,#REF!,$D56,#REF!,$G56)&gt;0,"OK","INVALID SITE CODE"))</f>
        <v/>
      </c>
      <c r="M56" s="11" t="str">
        <f t="shared" si="2"/>
        <v/>
      </c>
      <c r="N56" s="11" t="str">
        <f t="shared" si="3"/>
        <v/>
      </c>
      <c r="O56" s="11" t="str">
        <f t="shared" si="4"/>
        <v/>
      </c>
      <c r="P56" s="11" t="str">
        <f t="shared" si="5"/>
        <v/>
      </c>
    </row>
    <row r="57" spans="1:16">
      <c r="A57" s="7"/>
      <c r="B57" s="8"/>
      <c r="C57" s="8"/>
      <c r="D57" s="8"/>
      <c r="E57" s="9"/>
      <c r="F57" s="9"/>
      <c r="G57" s="8"/>
      <c r="H57" s="8"/>
      <c r="I57" s="8"/>
      <c r="J57" s="10" t="str">
        <f t="shared" si="1"/>
        <v/>
      </c>
      <c r="K57" s="11" t="str">
        <f>IF($B57="","",IF(COUNTIFS(#REF!,$C57,#REF!,$B57)&gt;0,"OK","NAME / ID MISMATCH"))</f>
        <v/>
      </c>
      <c r="L57" s="11" t="str">
        <f>IF($B57="","",IF(COUNTIFS(#REF!,$A57,#REF!,$D57,#REF!,$G57)&gt;0,"OK","INVALID SITE CODE"))</f>
        <v/>
      </c>
      <c r="M57" s="11" t="str">
        <f t="shared" si="2"/>
        <v/>
      </c>
      <c r="N57" s="11" t="str">
        <f t="shared" si="3"/>
        <v/>
      </c>
      <c r="O57" s="11" t="str">
        <f t="shared" si="4"/>
        <v/>
      </c>
      <c r="P57" s="11" t="str">
        <f t="shared" si="5"/>
        <v/>
      </c>
    </row>
    <row r="58" spans="1:16">
      <c r="A58" s="7"/>
      <c r="B58" s="8"/>
      <c r="C58" s="8"/>
      <c r="D58" s="8"/>
      <c r="E58" s="9"/>
      <c r="F58" s="9"/>
      <c r="G58" s="8"/>
      <c r="H58" s="8"/>
      <c r="I58" s="8"/>
      <c r="J58" s="10" t="str">
        <f t="shared" si="1"/>
        <v/>
      </c>
      <c r="K58" s="11" t="str">
        <f>IF($B58="","",IF(COUNTIFS(#REF!,$C58,#REF!,$B58)&gt;0,"OK","NAME / ID MISMATCH"))</f>
        <v/>
      </c>
      <c r="L58" s="11" t="str">
        <f>IF($B58="","",IF(COUNTIFS(#REF!,$A58,#REF!,$D58,#REF!,$G58)&gt;0,"OK","INVALID SITE CODE"))</f>
        <v/>
      </c>
      <c r="M58" s="11" t="str">
        <f t="shared" si="2"/>
        <v/>
      </c>
      <c r="N58" s="11" t="str">
        <f t="shared" si="3"/>
        <v/>
      </c>
      <c r="O58" s="11" t="str">
        <f t="shared" si="4"/>
        <v/>
      </c>
      <c r="P58" s="11" t="str">
        <f t="shared" si="5"/>
        <v/>
      </c>
    </row>
    <row r="59" spans="1:16">
      <c r="A59" s="7"/>
      <c r="B59" s="8"/>
      <c r="C59" s="8"/>
      <c r="D59" s="8"/>
      <c r="E59" s="9"/>
      <c r="F59" s="9"/>
      <c r="G59" s="8"/>
      <c r="H59" s="8"/>
      <c r="I59" s="8"/>
      <c r="J59" s="10" t="str">
        <f t="shared" si="1"/>
        <v/>
      </c>
      <c r="K59" s="11" t="str">
        <f>IF($B59="","",IF(COUNTIFS(#REF!,$C59,#REF!,$B59)&gt;0,"OK","NAME / ID MISMATCH"))</f>
        <v/>
      </c>
      <c r="L59" s="11" t="str">
        <f>IF($B59="","",IF(COUNTIFS(#REF!,$A59,#REF!,$D59,#REF!,$G59)&gt;0,"OK","INVALID SITE CODE"))</f>
        <v/>
      </c>
      <c r="M59" s="11" t="str">
        <f t="shared" si="2"/>
        <v/>
      </c>
      <c r="N59" s="11" t="str">
        <f t="shared" si="3"/>
        <v/>
      </c>
      <c r="O59" s="11" t="str">
        <f t="shared" si="4"/>
        <v/>
      </c>
      <c r="P59" s="11" t="str">
        <f t="shared" si="5"/>
        <v/>
      </c>
    </row>
    <row r="60" spans="1:16">
      <c r="A60" s="7"/>
      <c r="B60" s="8"/>
      <c r="C60" s="8"/>
      <c r="D60" s="8"/>
      <c r="E60" s="9"/>
      <c r="F60" s="9"/>
      <c r="G60" s="8"/>
      <c r="H60" s="8"/>
      <c r="I60" s="8"/>
      <c r="J60" s="10" t="str">
        <f t="shared" si="1"/>
        <v/>
      </c>
      <c r="K60" s="11" t="str">
        <f>IF($B60="","",IF(COUNTIFS(#REF!,$C60,#REF!,$B60)&gt;0,"OK","NAME / ID MISMATCH"))</f>
        <v/>
      </c>
      <c r="L60" s="11" t="str">
        <f>IF($B60="","",IF(COUNTIFS(#REF!,$A60,#REF!,$D60,#REF!,$G60)&gt;0,"OK","INVALID SITE CODE"))</f>
        <v/>
      </c>
      <c r="M60" s="11" t="str">
        <f t="shared" si="2"/>
        <v/>
      </c>
      <c r="N60" s="11" t="str">
        <f t="shared" si="3"/>
        <v/>
      </c>
      <c r="O60" s="11" t="str">
        <f t="shared" si="4"/>
        <v/>
      </c>
      <c r="P60" s="11" t="str">
        <f t="shared" si="5"/>
        <v/>
      </c>
    </row>
    <row r="61" spans="1:16">
      <c r="A61" s="7"/>
      <c r="B61" s="8"/>
      <c r="C61" s="8"/>
      <c r="D61" s="8"/>
      <c r="E61" s="9"/>
      <c r="F61" s="9"/>
      <c r="G61" s="8"/>
      <c r="H61" s="8"/>
      <c r="I61" s="8"/>
      <c r="J61" s="10" t="str">
        <f t="shared" si="1"/>
        <v/>
      </c>
      <c r="K61" s="11" t="str">
        <f>IF($B61="","",IF(COUNTIFS(#REF!,$C61,#REF!,$B61)&gt;0,"OK","NAME / ID MISMATCH"))</f>
        <v/>
      </c>
      <c r="L61" s="11" t="str">
        <f>IF($B61="","",IF(COUNTIFS(#REF!,$A61,#REF!,$D61,#REF!,$G61)&gt;0,"OK","INVALID SITE CODE"))</f>
        <v/>
      </c>
      <c r="M61" s="11" t="str">
        <f t="shared" si="2"/>
        <v/>
      </c>
      <c r="N61" s="11" t="str">
        <f t="shared" si="3"/>
        <v/>
      </c>
      <c r="O61" s="11" t="str">
        <f t="shared" si="4"/>
        <v/>
      </c>
      <c r="P61" s="11" t="str">
        <f t="shared" si="5"/>
        <v/>
      </c>
    </row>
    <row r="62" spans="1:16">
      <c r="A62" s="7"/>
      <c r="B62" s="8"/>
      <c r="C62" s="8"/>
      <c r="D62" s="8"/>
      <c r="E62" s="9"/>
      <c r="F62" s="9"/>
      <c r="G62" s="8"/>
      <c r="H62" s="8"/>
      <c r="I62" s="8"/>
      <c r="J62" s="10" t="str">
        <f t="shared" si="1"/>
        <v/>
      </c>
      <c r="K62" s="11" t="str">
        <f>IF($B62="","",IF(COUNTIFS(#REF!,$C62,#REF!,$B62)&gt;0,"OK","NAME / ID MISMATCH"))</f>
        <v/>
      </c>
      <c r="L62" s="11" t="str">
        <f>IF($B62="","",IF(COUNTIFS(#REF!,$A62,#REF!,$D62,#REF!,$G62)&gt;0,"OK","INVALID SITE CODE"))</f>
        <v/>
      </c>
      <c r="M62" s="11" t="str">
        <f t="shared" si="2"/>
        <v/>
      </c>
      <c r="N62" s="11" t="str">
        <f t="shared" si="3"/>
        <v/>
      </c>
      <c r="O62" s="11" t="str">
        <f t="shared" si="4"/>
        <v/>
      </c>
      <c r="P62" s="11" t="str">
        <f t="shared" si="5"/>
        <v/>
      </c>
    </row>
    <row r="63" spans="1:16">
      <c r="A63" s="7"/>
      <c r="B63" s="8"/>
      <c r="C63" s="8"/>
      <c r="D63" s="8"/>
      <c r="E63" s="9"/>
      <c r="F63" s="9"/>
      <c r="G63" s="8"/>
      <c r="H63" s="8"/>
      <c r="I63" s="8"/>
      <c r="J63" s="10" t="str">
        <f t="shared" si="1"/>
        <v/>
      </c>
      <c r="K63" s="11" t="str">
        <f>IF($B63="","",IF(COUNTIFS(#REF!,$C63,#REF!,$B63)&gt;0,"OK","NAME / ID MISMATCH"))</f>
        <v/>
      </c>
      <c r="L63" s="11" t="str">
        <f>IF($B63="","",IF(COUNTIFS(#REF!,$A63,#REF!,$D63,#REF!,$G63)&gt;0,"OK","INVALID SITE CODE"))</f>
        <v/>
      </c>
      <c r="M63" s="11" t="str">
        <f t="shared" si="2"/>
        <v/>
      </c>
      <c r="N63" s="11" t="str">
        <f t="shared" si="3"/>
        <v/>
      </c>
      <c r="O63" s="11" t="str">
        <f t="shared" si="4"/>
        <v/>
      </c>
      <c r="P63" s="11" t="str">
        <f t="shared" si="5"/>
        <v/>
      </c>
    </row>
    <row r="64" spans="1:16">
      <c r="A64" s="7"/>
      <c r="B64" s="8"/>
      <c r="C64" s="8"/>
      <c r="D64" s="8"/>
      <c r="E64" s="9"/>
      <c r="F64" s="9"/>
      <c r="G64" s="8"/>
      <c r="H64" s="8"/>
      <c r="I64" s="8"/>
      <c r="J64" s="10" t="str">
        <f t="shared" si="1"/>
        <v/>
      </c>
      <c r="K64" s="11" t="str">
        <f>IF($B64="","",IF(COUNTIFS(#REF!,$C64,#REF!,$B64)&gt;0,"OK","NAME / ID MISMATCH"))</f>
        <v/>
      </c>
      <c r="L64" s="11" t="str">
        <f>IF($B64="","",IF(COUNTIFS(#REF!,$A64,#REF!,$D64,#REF!,$G64)&gt;0,"OK","INVALID SITE CODE"))</f>
        <v/>
      </c>
      <c r="M64" s="11" t="str">
        <f t="shared" si="2"/>
        <v/>
      </c>
      <c r="N64" s="11" t="str">
        <f t="shared" si="3"/>
        <v/>
      </c>
      <c r="O64" s="11" t="str">
        <f t="shared" si="4"/>
        <v/>
      </c>
      <c r="P64" s="11" t="str">
        <f t="shared" si="5"/>
        <v/>
      </c>
    </row>
    <row r="65" spans="1:16">
      <c r="A65" s="7"/>
      <c r="B65" s="8"/>
      <c r="C65" s="8"/>
      <c r="D65" s="8"/>
      <c r="E65" s="9"/>
      <c r="F65" s="9"/>
      <c r="G65" s="8"/>
      <c r="H65" s="8"/>
      <c r="I65" s="8"/>
      <c r="J65" s="10" t="str">
        <f t="shared" si="1"/>
        <v/>
      </c>
      <c r="K65" s="11" t="str">
        <f>IF($B65="","",IF(COUNTIFS(#REF!,$C65,#REF!,$B65)&gt;0,"OK","NAME / ID MISMATCH"))</f>
        <v/>
      </c>
      <c r="L65" s="11" t="str">
        <f>IF($B65="","",IF(COUNTIFS(#REF!,$A65,#REF!,$D65,#REF!,$G65)&gt;0,"OK","INVALID SITE CODE"))</f>
        <v/>
      </c>
      <c r="M65" s="11" t="str">
        <f t="shared" si="2"/>
        <v/>
      </c>
      <c r="N65" s="11" t="str">
        <f t="shared" si="3"/>
        <v/>
      </c>
      <c r="O65" s="11" t="str">
        <f t="shared" si="4"/>
        <v/>
      </c>
      <c r="P65" s="11" t="str">
        <f t="shared" si="5"/>
        <v/>
      </c>
    </row>
    <row r="66" spans="1:16">
      <c r="A66" s="7"/>
      <c r="B66" s="8"/>
      <c r="C66" s="8"/>
      <c r="D66" s="8"/>
      <c r="E66" s="9"/>
      <c r="F66" s="9"/>
      <c r="G66" s="8"/>
      <c r="H66" s="8"/>
      <c r="I66" s="8"/>
      <c r="J66" s="10" t="str">
        <f t="shared" si="1"/>
        <v/>
      </c>
      <c r="K66" s="11" t="str">
        <f>IF($B66="","",IF(COUNTIFS(#REF!,$C66,#REF!,$B66)&gt;0,"OK","NAME / ID MISMATCH"))</f>
        <v/>
      </c>
      <c r="L66" s="11" t="str">
        <f>IF($B66="","",IF(COUNTIFS(#REF!,$A66,#REF!,$D66,#REF!,$G66)&gt;0,"OK","INVALID SITE CODE"))</f>
        <v/>
      </c>
      <c r="M66" s="11" t="str">
        <f t="shared" si="2"/>
        <v/>
      </c>
      <c r="N66" s="11" t="str">
        <f t="shared" si="3"/>
        <v/>
      </c>
      <c r="O66" s="11" t="str">
        <f t="shared" si="4"/>
        <v/>
      </c>
      <c r="P66" s="11" t="str">
        <f t="shared" si="5"/>
        <v/>
      </c>
    </row>
    <row r="67" spans="1:16">
      <c r="A67" s="7"/>
      <c r="B67" s="8"/>
      <c r="C67" s="8"/>
      <c r="D67" s="8"/>
      <c r="E67" s="9"/>
      <c r="F67" s="9"/>
      <c r="G67" s="8"/>
      <c r="H67" s="8"/>
      <c r="I67" s="8"/>
      <c r="J67" s="10" t="str">
        <f t="shared" si="1"/>
        <v/>
      </c>
      <c r="K67" s="11" t="str">
        <f>IF($B67="","",IF(COUNTIFS(#REF!,$C67,#REF!,$B67)&gt;0,"OK","NAME / ID MISMATCH"))</f>
        <v/>
      </c>
      <c r="L67" s="11" t="str">
        <f>IF($B67="","",IF(COUNTIFS(#REF!,$A67,#REF!,$D67,#REF!,$G67)&gt;0,"OK","INVALID SITE CODE"))</f>
        <v/>
      </c>
      <c r="M67" s="11" t="str">
        <f t="shared" si="2"/>
        <v/>
      </c>
      <c r="N67" s="11" t="str">
        <f t="shared" si="3"/>
        <v/>
      </c>
      <c r="O67" s="11" t="str">
        <f t="shared" si="4"/>
        <v/>
      </c>
      <c r="P67" s="11" t="str">
        <f t="shared" si="5"/>
        <v/>
      </c>
    </row>
    <row r="68" spans="1:16">
      <c r="A68" s="7"/>
      <c r="B68" s="8"/>
      <c r="C68" s="8"/>
      <c r="D68" s="8"/>
      <c r="E68" s="9"/>
      <c r="F68" s="9"/>
      <c r="G68" s="8"/>
      <c r="H68" s="8"/>
      <c r="I68" s="8"/>
      <c r="J68" s="10" t="str">
        <f t="shared" si="1"/>
        <v/>
      </c>
      <c r="K68" s="11" t="str">
        <f>IF($B68="","",IF(COUNTIFS(#REF!,$C68,#REF!,$B68)&gt;0,"OK","NAME / ID MISMATCH"))</f>
        <v/>
      </c>
      <c r="L68" s="11" t="str">
        <f>IF($B68="","",IF(COUNTIFS(#REF!,$A68,#REF!,$D68,#REF!,$G68)&gt;0,"OK","INVALID SITE CODE"))</f>
        <v/>
      </c>
      <c r="M68" s="11" t="str">
        <f t="shared" si="2"/>
        <v/>
      </c>
      <c r="N68" s="11" t="str">
        <f t="shared" si="3"/>
        <v/>
      </c>
      <c r="O68" s="11" t="str">
        <f t="shared" si="4"/>
        <v/>
      </c>
      <c r="P68" s="11" t="str">
        <f t="shared" si="5"/>
        <v/>
      </c>
    </row>
    <row r="69" spans="1:16">
      <c r="A69" s="7"/>
      <c r="B69" s="8"/>
      <c r="C69" s="8"/>
      <c r="D69" s="8"/>
      <c r="E69" s="9"/>
      <c r="F69" s="9"/>
      <c r="G69" s="8"/>
      <c r="H69" s="8"/>
      <c r="I69" s="8"/>
      <c r="J69" s="10" t="str">
        <f t="shared" ref="J69:J124" si="6">IF($B69="","",IF(OR($E69="",$F69=""),"",MAX(0,($F69-$E69)*24)))</f>
        <v/>
      </c>
      <c r="K69" s="11" t="str">
        <f>IF($B69="","",IF(COUNTIFS(#REF!,$C69,#REF!,$B69)&gt;0,"OK","NAME / ID MISMATCH"))</f>
        <v/>
      </c>
      <c r="L69" s="11" t="str">
        <f>IF($B69="","",IF(COUNTIFS(#REF!,$A69,#REF!,$D69,#REF!,$G69)&gt;0,"OK","INVALID SITE CODE"))</f>
        <v/>
      </c>
      <c r="M69" s="11" t="str">
        <f t="shared" ref="M69:M124" si="7">IF($B69="","",IF(COUNTIFS($A$5:$A$124,$A69,$C$5:$C$124,$C69)&gt;1,"DUPLICATE","OK"))</f>
        <v/>
      </c>
      <c r="N69" s="11" t="str">
        <f t="shared" ref="N69:N124" si="8">IF($B69="","",IF(OR($E69="",$F69=""),"MISSING TIME",IF($F69&lt;$E69,"BAD TIME",IF($J69&gt;12,"OVER 12 HOURS","OK"))))</f>
        <v/>
      </c>
      <c r="O69" s="11" t="str">
        <f t="shared" ref="O69:O124" si="9">IF($B69="","",IF($H69="","NO SUPERVISOR","OK"))</f>
        <v/>
      </c>
      <c r="P69" s="11" t="str">
        <f t="shared" ref="P69:P124" si="10">IF($B69="","",IF(AND($K69="OK",$L69="OK",$M69="OK",$N69="OK",$O69="OK"),"PAY","HOLD / REVIEW"))</f>
        <v/>
      </c>
    </row>
    <row r="70" spans="1:16">
      <c r="A70" s="7"/>
      <c r="B70" s="8"/>
      <c r="C70" s="8"/>
      <c r="D70" s="8"/>
      <c r="E70" s="9"/>
      <c r="F70" s="9"/>
      <c r="G70" s="8"/>
      <c r="H70" s="8"/>
      <c r="I70" s="8"/>
      <c r="J70" s="10" t="str">
        <f t="shared" si="6"/>
        <v/>
      </c>
      <c r="K70" s="11" t="str">
        <f>IF($B70="","",IF(COUNTIFS(#REF!,$C70,#REF!,$B70)&gt;0,"OK","NAME / ID MISMATCH"))</f>
        <v/>
      </c>
      <c r="L70" s="11" t="str">
        <f>IF($B70="","",IF(COUNTIFS(#REF!,$A70,#REF!,$D70,#REF!,$G70)&gt;0,"OK","INVALID SITE CODE"))</f>
        <v/>
      </c>
      <c r="M70" s="11" t="str">
        <f t="shared" si="7"/>
        <v/>
      </c>
      <c r="N70" s="11" t="str">
        <f t="shared" si="8"/>
        <v/>
      </c>
      <c r="O70" s="11" t="str">
        <f t="shared" si="9"/>
        <v/>
      </c>
      <c r="P70" s="11" t="str">
        <f t="shared" si="10"/>
        <v/>
      </c>
    </row>
    <row r="71" spans="1:16">
      <c r="A71" s="7"/>
      <c r="B71" s="8"/>
      <c r="C71" s="8"/>
      <c r="D71" s="8"/>
      <c r="E71" s="9"/>
      <c r="F71" s="9"/>
      <c r="G71" s="8"/>
      <c r="H71" s="8"/>
      <c r="I71" s="8"/>
      <c r="J71" s="10" t="str">
        <f t="shared" si="6"/>
        <v/>
      </c>
      <c r="K71" s="11" t="str">
        <f>IF($B71="","",IF(COUNTIFS(#REF!,$C71,#REF!,$B71)&gt;0,"OK","NAME / ID MISMATCH"))</f>
        <v/>
      </c>
      <c r="L71" s="11" t="str">
        <f>IF($B71="","",IF(COUNTIFS(#REF!,$A71,#REF!,$D71,#REF!,$G71)&gt;0,"OK","INVALID SITE CODE"))</f>
        <v/>
      </c>
      <c r="M71" s="11" t="str">
        <f t="shared" si="7"/>
        <v/>
      </c>
      <c r="N71" s="11" t="str">
        <f t="shared" si="8"/>
        <v/>
      </c>
      <c r="O71" s="11" t="str">
        <f t="shared" si="9"/>
        <v/>
      </c>
      <c r="P71" s="11" t="str">
        <f t="shared" si="10"/>
        <v/>
      </c>
    </row>
    <row r="72" spans="1:16">
      <c r="A72" s="7"/>
      <c r="B72" s="8"/>
      <c r="C72" s="8"/>
      <c r="D72" s="8"/>
      <c r="E72" s="9"/>
      <c r="F72" s="9"/>
      <c r="G72" s="8"/>
      <c r="H72" s="8"/>
      <c r="I72" s="8"/>
      <c r="J72" s="10" t="str">
        <f t="shared" si="6"/>
        <v/>
      </c>
      <c r="K72" s="11" t="str">
        <f>IF($B72="","",IF(COUNTIFS(#REF!,$C72,#REF!,$B72)&gt;0,"OK","NAME / ID MISMATCH"))</f>
        <v/>
      </c>
      <c r="L72" s="11" t="str">
        <f>IF($B72="","",IF(COUNTIFS(#REF!,$A72,#REF!,$D72,#REF!,$G72)&gt;0,"OK","INVALID SITE CODE"))</f>
        <v/>
      </c>
      <c r="M72" s="11" t="str">
        <f t="shared" si="7"/>
        <v/>
      </c>
      <c r="N72" s="11" t="str">
        <f t="shared" si="8"/>
        <v/>
      </c>
      <c r="O72" s="11" t="str">
        <f t="shared" si="9"/>
        <v/>
      </c>
      <c r="P72" s="11" t="str">
        <f t="shared" si="10"/>
        <v/>
      </c>
    </row>
    <row r="73" spans="1:16">
      <c r="A73" s="7"/>
      <c r="B73" s="8"/>
      <c r="C73" s="8"/>
      <c r="D73" s="8"/>
      <c r="E73" s="9"/>
      <c r="F73" s="9"/>
      <c r="G73" s="8"/>
      <c r="H73" s="8"/>
      <c r="I73" s="8"/>
      <c r="J73" s="10" t="str">
        <f t="shared" si="6"/>
        <v/>
      </c>
      <c r="K73" s="11" t="str">
        <f>IF($B73="","",IF(COUNTIFS(#REF!,$C73,#REF!,$B73)&gt;0,"OK","NAME / ID MISMATCH"))</f>
        <v/>
      </c>
      <c r="L73" s="11" t="str">
        <f>IF($B73="","",IF(COUNTIFS(#REF!,$A73,#REF!,$D73,#REF!,$G73)&gt;0,"OK","INVALID SITE CODE"))</f>
        <v/>
      </c>
      <c r="M73" s="11" t="str">
        <f t="shared" si="7"/>
        <v/>
      </c>
      <c r="N73" s="11" t="str">
        <f t="shared" si="8"/>
        <v/>
      </c>
      <c r="O73" s="11" t="str">
        <f t="shared" si="9"/>
        <v/>
      </c>
      <c r="P73" s="11" t="str">
        <f t="shared" si="10"/>
        <v/>
      </c>
    </row>
    <row r="74" spans="1:16">
      <c r="A74" s="7"/>
      <c r="B74" s="8"/>
      <c r="C74" s="8"/>
      <c r="D74" s="8"/>
      <c r="E74" s="9"/>
      <c r="F74" s="9"/>
      <c r="G74" s="8"/>
      <c r="H74" s="8"/>
      <c r="I74" s="8"/>
      <c r="J74" s="10" t="str">
        <f t="shared" si="6"/>
        <v/>
      </c>
      <c r="K74" s="11" t="str">
        <f>IF($B74="","",IF(COUNTIFS(#REF!,$C74,#REF!,$B74)&gt;0,"OK","NAME / ID MISMATCH"))</f>
        <v/>
      </c>
      <c r="L74" s="11" t="str">
        <f>IF($B74="","",IF(COUNTIFS(#REF!,$A74,#REF!,$D74,#REF!,$G74)&gt;0,"OK","INVALID SITE CODE"))</f>
        <v/>
      </c>
      <c r="M74" s="11" t="str">
        <f t="shared" si="7"/>
        <v/>
      </c>
      <c r="N74" s="11" t="str">
        <f t="shared" si="8"/>
        <v/>
      </c>
      <c r="O74" s="11" t="str">
        <f t="shared" si="9"/>
        <v/>
      </c>
      <c r="P74" s="11" t="str">
        <f t="shared" si="10"/>
        <v/>
      </c>
    </row>
    <row r="75" spans="1:16">
      <c r="A75" s="7"/>
      <c r="B75" s="8"/>
      <c r="C75" s="8"/>
      <c r="D75" s="8"/>
      <c r="E75" s="9"/>
      <c r="F75" s="9"/>
      <c r="G75" s="8"/>
      <c r="H75" s="8"/>
      <c r="I75" s="8"/>
      <c r="J75" s="10" t="str">
        <f t="shared" si="6"/>
        <v/>
      </c>
      <c r="K75" s="11" t="str">
        <f>IF($B75="","",IF(COUNTIFS(#REF!,$C75,#REF!,$B75)&gt;0,"OK","NAME / ID MISMATCH"))</f>
        <v/>
      </c>
      <c r="L75" s="11" t="str">
        <f>IF($B75="","",IF(COUNTIFS(#REF!,$A75,#REF!,$D75,#REF!,$G75)&gt;0,"OK","INVALID SITE CODE"))</f>
        <v/>
      </c>
      <c r="M75" s="11" t="str">
        <f t="shared" si="7"/>
        <v/>
      </c>
      <c r="N75" s="11" t="str">
        <f t="shared" si="8"/>
        <v/>
      </c>
      <c r="O75" s="11" t="str">
        <f t="shared" si="9"/>
        <v/>
      </c>
      <c r="P75" s="11" t="str">
        <f t="shared" si="10"/>
        <v/>
      </c>
    </row>
    <row r="76" spans="1:16">
      <c r="A76" s="7"/>
      <c r="B76" s="8"/>
      <c r="C76" s="8"/>
      <c r="D76" s="8"/>
      <c r="E76" s="9"/>
      <c r="F76" s="9"/>
      <c r="G76" s="8"/>
      <c r="H76" s="8"/>
      <c r="I76" s="8"/>
      <c r="J76" s="10" t="str">
        <f t="shared" si="6"/>
        <v/>
      </c>
      <c r="K76" s="11" t="str">
        <f>IF($B76="","",IF(COUNTIFS(#REF!,$C76,#REF!,$B76)&gt;0,"OK","NAME / ID MISMATCH"))</f>
        <v/>
      </c>
      <c r="L76" s="11" t="str">
        <f>IF($B76="","",IF(COUNTIFS(#REF!,$A76,#REF!,$D76,#REF!,$G76)&gt;0,"OK","INVALID SITE CODE"))</f>
        <v/>
      </c>
      <c r="M76" s="11" t="str">
        <f t="shared" si="7"/>
        <v/>
      </c>
      <c r="N76" s="11" t="str">
        <f t="shared" si="8"/>
        <v/>
      </c>
      <c r="O76" s="11" t="str">
        <f t="shared" si="9"/>
        <v/>
      </c>
      <c r="P76" s="11" t="str">
        <f t="shared" si="10"/>
        <v/>
      </c>
    </row>
    <row r="77" spans="1:16">
      <c r="A77" s="7"/>
      <c r="B77" s="8"/>
      <c r="C77" s="8"/>
      <c r="D77" s="8"/>
      <c r="E77" s="9"/>
      <c r="F77" s="9"/>
      <c r="G77" s="8"/>
      <c r="H77" s="8"/>
      <c r="I77" s="8"/>
      <c r="J77" s="10" t="str">
        <f t="shared" si="6"/>
        <v/>
      </c>
      <c r="K77" s="11" t="str">
        <f>IF($B77="","",IF(COUNTIFS(#REF!,$C77,#REF!,$B77)&gt;0,"OK","NAME / ID MISMATCH"))</f>
        <v/>
      </c>
      <c r="L77" s="11" t="str">
        <f>IF($B77="","",IF(COUNTIFS(#REF!,$A77,#REF!,$D77,#REF!,$G77)&gt;0,"OK","INVALID SITE CODE"))</f>
        <v/>
      </c>
      <c r="M77" s="11" t="str">
        <f t="shared" si="7"/>
        <v/>
      </c>
      <c r="N77" s="11" t="str">
        <f t="shared" si="8"/>
        <v/>
      </c>
      <c r="O77" s="11" t="str">
        <f t="shared" si="9"/>
        <v/>
      </c>
      <c r="P77" s="11" t="str">
        <f t="shared" si="10"/>
        <v/>
      </c>
    </row>
    <row r="78" spans="1:16">
      <c r="A78" s="7"/>
      <c r="B78" s="8"/>
      <c r="C78" s="8"/>
      <c r="D78" s="8"/>
      <c r="E78" s="9"/>
      <c r="F78" s="9"/>
      <c r="G78" s="8"/>
      <c r="H78" s="8"/>
      <c r="I78" s="8"/>
      <c r="J78" s="10" t="str">
        <f t="shared" si="6"/>
        <v/>
      </c>
      <c r="K78" s="11" t="str">
        <f>IF($B78="","",IF(COUNTIFS(#REF!,$C78,#REF!,$B78)&gt;0,"OK","NAME / ID MISMATCH"))</f>
        <v/>
      </c>
      <c r="L78" s="11" t="str">
        <f>IF($B78="","",IF(COUNTIFS(#REF!,$A78,#REF!,$D78,#REF!,$G78)&gt;0,"OK","INVALID SITE CODE"))</f>
        <v/>
      </c>
      <c r="M78" s="11" t="str">
        <f t="shared" si="7"/>
        <v/>
      </c>
      <c r="N78" s="11" t="str">
        <f t="shared" si="8"/>
        <v/>
      </c>
      <c r="O78" s="11" t="str">
        <f t="shared" si="9"/>
        <v/>
      </c>
      <c r="P78" s="11" t="str">
        <f t="shared" si="10"/>
        <v/>
      </c>
    </row>
    <row r="79" spans="1:16">
      <c r="A79" s="7"/>
      <c r="B79" s="8"/>
      <c r="C79" s="8"/>
      <c r="D79" s="8"/>
      <c r="E79" s="9"/>
      <c r="F79" s="9"/>
      <c r="G79" s="8"/>
      <c r="H79" s="8"/>
      <c r="I79" s="8"/>
      <c r="J79" s="10" t="str">
        <f t="shared" si="6"/>
        <v/>
      </c>
      <c r="K79" s="11" t="str">
        <f>IF($B79="","",IF(COUNTIFS(#REF!,$C79,#REF!,$B79)&gt;0,"OK","NAME / ID MISMATCH"))</f>
        <v/>
      </c>
      <c r="L79" s="11" t="str">
        <f>IF($B79="","",IF(COUNTIFS(#REF!,$A79,#REF!,$D79,#REF!,$G79)&gt;0,"OK","INVALID SITE CODE"))</f>
        <v/>
      </c>
      <c r="M79" s="11" t="str">
        <f t="shared" si="7"/>
        <v/>
      </c>
      <c r="N79" s="11" t="str">
        <f t="shared" si="8"/>
        <v/>
      </c>
      <c r="O79" s="11" t="str">
        <f t="shared" si="9"/>
        <v/>
      </c>
      <c r="P79" s="11" t="str">
        <f t="shared" si="10"/>
        <v/>
      </c>
    </row>
    <row r="80" spans="1:16">
      <c r="A80" s="7"/>
      <c r="B80" s="8"/>
      <c r="C80" s="8"/>
      <c r="D80" s="8"/>
      <c r="E80" s="9"/>
      <c r="F80" s="9"/>
      <c r="G80" s="8"/>
      <c r="H80" s="8"/>
      <c r="I80" s="8"/>
      <c r="J80" s="10" t="str">
        <f t="shared" si="6"/>
        <v/>
      </c>
      <c r="K80" s="11" t="str">
        <f>IF($B80="","",IF(COUNTIFS(#REF!,$C80,#REF!,$B80)&gt;0,"OK","NAME / ID MISMATCH"))</f>
        <v/>
      </c>
      <c r="L80" s="11" t="str">
        <f>IF($B80="","",IF(COUNTIFS(#REF!,$A80,#REF!,$D80,#REF!,$G80)&gt;0,"OK","INVALID SITE CODE"))</f>
        <v/>
      </c>
      <c r="M80" s="11" t="str">
        <f t="shared" si="7"/>
        <v/>
      </c>
      <c r="N80" s="11" t="str">
        <f t="shared" si="8"/>
        <v/>
      </c>
      <c r="O80" s="11" t="str">
        <f t="shared" si="9"/>
        <v/>
      </c>
      <c r="P80" s="11" t="str">
        <f t="shared" si="10"/>
        <v/>
      </c>
    </row>
    <row r="81" spans="1:16">
      <c r="A81" s="7"/>
      <c r="B81" s="8"/>
      <c r="C81" s="8"/>
      <c r="D81" s="8"/>
      <c r="E81" s="9"/>
      <c r="F81" s="9"/>
      <c r="G81" s="8"/>
      <c r="H81" s="8"/>
      <c r="I81" s="8"/>
      <c r="J81" s="10" t="str">
        <f t="shared" si="6"/>
        <v/>
      </c>
      <c r="K81" s="11" t="str">
        <f>IF($B81="","",IF(COUNTIFS(#REF!,$C81,#REF!,$B81)&gt;0,"OK","NAME / ID MISMATCH"))</f>
        <v/>
      </c>
      <c r="L81" s="11" t="str">
        <f>IF($B81="","",IF(COUNTIFS(#REF!,$A81,#REF!,$D81,#REF!,$G81)&gt;0,"OK","INVALID SITE CODE"))</f>
        <v/>
      </c>
      <c r="M81" s="11" t="str">
        <f t="shared" si="7"/>
        <v/>
      </c>
      <c r="N81" s="11" t="str">
        <f t="shared" si="8"/>
        <v/>
      </c>
      <c r="O81" s="11" t="str">
        <f t="shared" si="9"/>
        <v/>
      </c>
      <c r="P81" s="11" t="str">
        <f t="shared" si="10"/>
        <v/>
      </c>
    </row>
    <row r="82" spans="1:16">
      <c r="A82" s="7"/>
      <c r="B82" s="8"/>
      <c r="C82" s="8"/>
      <c r="D82" s="8"/>
      <c r="E82" s="9"/>
      <c r="F82" s="9"/>
      <c r="G82" s="8"/>
      <c r="H82" s="8"/>
      <c r="I82" s="8"/>
      <c r="J82" s="10" t="str">
        <f t="shared" si="6"/>
        <v/>
      </c>
      <c r="K82" s="11" t="str">
        <f>IF($B82="","",IF(COUNTIFS(#REF!,$C82,#REF!,$B82)&gt;0,"OK","NAME / ID MISMATCH"))</f>
        <v/>
      </c>
      <c r="L82" s="11" t="str">
        <f>IF($B82="","",IF(COUNTIFS(#REF!,$A82,#REF!,$D82,#REF!,$G82)&gt;0,"OK","INVALID SITE CODE"))</f>
        <v/>
      </c>
      <c r="M82" s="11" t="str">
        <f t="shared" si="7"/>
        <v/>
      </c>
      <c r="N82" s="11" t="str">
        <f t="shared" si="8"/>
        <v/>
      </c>
      <c r="O82" s="11" t="str">
        <f t="shared" si="9"/>
        <v/>
      </c>
      <c r="P82" s="11" t="str">
        <f t="shared" si="10"/>
        <v/>
      </c>
    </row>
    <row r="83" spans="1:16">
      <c r="A83" s="7"/>
      <c r="B83" s="8"/>
      <c r="C83" s="8"/>
      <c r="D83" s="8"/>
      <c r="E83" s="9"/>
      <c r="F83" s="9"/>
      <c r="G83" s="8"/>
      <c r="H83" s="8"/>
      <c r="I83" s="8"/>
      <c r="J83" s="10" t="str">
        <f t="shared" si="6"/>
        <v/>
      </c>
      <c r="K83" s="11" t="str">
        <f>IF($B83="","",IF(COUNTIFS(#REF!,$C83,#REF!,$B83)&gt;0,"OK","NAME / ID MISMATCH"))</f>
        <v/>
      </c>
      <c r="L83" s="11" t="str">
        <f>IF($B83="","",IF(COUNTIFS(#REF!,$A83,#REF!,$D83,#REF!,$G83)&gt;0,"OK","INVALID SITE CODE"))</f>
        <v/>
      </c>
      <c r="M83" s="11" t="str">
        <f t="shared" si="7"/>
        <v/>
      </c>
      <c r="N83" s="11" t="str">
        <f t="shared" si="8"/>
        <v/>
      </c>
      <c r="O83" s="11" t="str">
        <f t="shared" si="9"/>
        <v/>
      </c>
      <c r="P83" s="11" t="str">
        <f t="shared" si="10"/>
        <v/>
      </c>
    </row>
    <row r="84" spans="1:16">
      <c r="A84" s="7"/>
      <c r="B84" s="8"/>
      <c r="C84" s="8"/>
      <c r="D84" s="8"/>
      <c r="E84" s="9"/>
      <c r="F84" s="9"/>
      <c r="G84" s="8"/>
      <c r="H84" s="8"/>
      <c r="I84" s="8"/>
      <c r="J84" s="10" t="str">
        <f t="shared" si="6"/>
        <v/>
      </c>
      <c r="K84" s="11" t="str">
        <f>IF($B84="","",IF(COUNTIFS(#REF!,$C84,#REF!,$B84)&gt;0,"OK","NAME / ID MISMATCH"))</f>
        <v/>
      </c>
      <c r="L84" s="11" t="str">
        <f>IF($B84="","",IF(COUNTIFS(#REF!,$A84,#REF!,$D84,#REF!,$G84)&gt;0,"OK","INVALID SITE CODE"))</f>
        <v/>
      </c>
      <c r="M84" s="11" t="str">
        <f t="shared" si="7"/>
        <v/>
      </c>
      <c r="N84" s="11" t="str">
        <f t="shared" si="8"/>
        <v/>
      </c>
      <c r="O84" s="11" t="str">
        <f t="shared" si="9"/>
        <v/>
      </c>
      <c r="P84" s="11" t="str">
        <f t="shared" si="10"/>
        <v/>
      </c>
    </row>
    <row r="85" spans="1:16">
      <c r="A85" s="7"/>
      <c r="B85" s="8"/>
      <c r="C85" s="8"/>
      <c r="D85" s="8"/>
      <c r="E85" s="9"/>
      <c r="F85" s="9"/>
      <c r="G85" s="8"/>
      <c r="H85" s="8"/>
      <c r="I85" s="8"/>
      <c r="J85" s="10" t="str">
        <f t="shared" si="6"/>
        <v/>
      </c>
      <c r="K85" s="11" t="str">
        <f>IF($B85="","",IF(COUNTIFS(#REF!,$C85,#REF!,$B85)&gt;0,"OK","NAME / ID MISMATCH"))</f>
        <v/>
      </c>
      <c r="L85" s="11" t="str">
        <f>IF($B85="","",IF(COUNTIFS(#REF!,$A85,#REF!,$D85,#REF!,$G85)&gt;0,"OK","INVALID SITE CODE"))</f>
        <v/>
      </c>
      <c r="M85" s="11" t="str">
        <f t="shared" si="7"/>
        <v/>
      </c>
      <c r="N85" s="11" t="str">
        <f t="shared" si="8"/>
        <v/>
      </c>
      <c r="O85" s="11" t="str">
        <f t="shared" si="9"/>
        <v/>
      </c>
      <c r="P85" s="11" t="str">
        <f t="shared" si="10"/>
        <v/>
      </c>
    </row>
    <row r="86" spans="1:16">
      <c r="A86" s="7"/>
      <c r="B86" s="8"/>
      <c r="C86" s="8"/>
      <c r="D86" s="8"/>
      <c r="E86" s="9"/>
      <c r="F86" s="9"/>
      <c r="G86" s="8"/>
      <c r="H86" s="8"/>
      <c r="I86" s="8"/>
      <c r="J86" s="10" t="str">
        <f t="shared" si="6"/>
        <v/>
      </c>
      <c r="K86" s="11" t="str">
        <f>IF($B86="","",IF(COUNTIFS(#REF!,$C86,#REF!,$B86)&gt;0,"OK","NAME / ID MISMATCH"))</f>
        <v/>
      </c>
      <c r="L86" s="11" t="str">
        <f>IF($B86="","",IF(COUNTIFS(#REF!,$A86,#REF!,$D86,#REF!,$G86)&gt;0,"OK","INVALID SITE CODE"))</f>
        <v/>
      </c>
      <c r="M86" s="11" t="str">
        <f t="shared" si="7"/>
        <v/>
      </c>
      <c r="N86" s="11" t="str">
        <f t="shared" si="8"/>
        <v/>
      </c>
      <c r="O86" s="11" t="str">
        <f t="shared" si="9"/>
        <v/>
      </c>
      <c r="P86" s="11" t="str">
        <f t="shared" si="10"/>
        <v/>
      </c>
    </row>
    <row r="87" spans="1:16">
      <c r="A87" s="7"/>
      <c r="B87" s="8"/>
      <c r="C87" s="8"/>
      <c r="D87" s="8"/>
      <c r="E87" s="9"/>
      <c r="F87" s="9"/>
      <c r="G87" s="8"/>
      <c r="H87" s="8"/>
      <c r="I87" s="8"/>
      <c r="J87" s="10" t="str">
        <f t="shared" si="6"/>
        <v/>
      </c>
      <c r="K87" s="11" t="str">
        <f>IF($B87="","",IF(COUNTIFS(#REF!,$C87,#REF!,$B87)&gt;0,"OK","NAME / ID MISMATCH"))</f>
        <v/>
      </c>
      <c r="L87" s="11" t="str">
        <f>IF($B87="","",IF(COUNTIFS(#REF!,$A87,#REF!,$D87,#REF!,$G87)&gt;0,"OK","INVALID SITE CODE"))</f>
        <v/>
      </c>
      <c r="M87" s="11" t="str">
        <f t="shared" si="7"/>
        <v/>
      </c>
      <c r="N87" s="11" t="str">
        <f t="shared" si="8"/>
        <v/>
      </c>
      <c r="O87" s="11" t="str">
        <f t="shared" si="9"/>
        <v/>
      </c>
      <c r="P87" s="11" t="str">
        <f t="shared" si="10"/>
        <v/>
      </c>
    </row>
    <row r="88" spans="1:16">
      <c r="A88" s="7"/>
      <c r="B88" s="8"/>
      <c r="C88" s="8"/>
      <c r="D88" s="8"/>
      <c r="E88" s="9"/>
      <c r="F88" s="9"/>
      <c r="G88" s="8"/>
      <c r="H88" s="8"/>
      <c r="I88" s="8"/>
      <c r="J88" s="10" t="str">
        <f t="shared" si="6"/>
        <v/>
      </c>
      <c r="K88" s="11" t="str">
        <f>IF($B88="","",IF(COUNTIFS(#REF!,$C88,#REF!,$B88)&gt;0,"OK","NAME / ID MISMATCH"))</f>
        <v/>
      </c>
      <c r="L88" s="11" t="str">
        <f>IF($B88="","",IF(COUNTIFS(#REF!,$A88,#REF!,$D88,#REF!,$G88)&gt;0,"OK","INVALID SITE CODE"))</f>
        <v/>
      </c>
      <c r="M88" s="11" t="str">
        <f t="shared" si="7"/>
        <v/>
      </c>
      <c r="N88" s="11" t="str">
        <f t="shared" si="8"/>
        <v/>
      </c>
      <c r="O88" s="11" t="str">
        <f t="shared" si="9"/>
        <v/>
      </c>
      <c r="P88" s="11" t="str">
        <f t="shared" si="10"/>
        <v/>
      </c>
    </row>
    <row r="89" spans="1:16">
      <c r="A89" s="7"/>
      <c r="B89" s="8"/>
      <c r="C89" s="8"/>
      <c r="D89" s="8"/>
      <c r="E89" s="9"/>
      <c r="F89" s="9"/>
      <c r="G89" s="8"/>
      <c r="H89" s="8"/>
      <c r="I89" s="8"/>
      <c r="J89" s="10" t="str">
        <f t="shared" si="6"/>
        <v/>
      </c>
      <c r="K89" s="11" t="str">
        <f>IF($B89="","",IF(COUNTIFS(#REF!,$C89,#REF!,$B89)&gt;0,"OK","NAME / ID MISMATCH"))</f>
        <v/>
      </c>
      <c r="L89" s="11" t="str">
        <f>IF($B89="","",IF(COUNTIFS(#REF!,$A89,#REF!,$D89,#REF!,$G89)&gt;0,"OK","INVALID SITE CODE"))</f>
        <v/>
      </c>
      <c r="M89" s="11" t="str">
        <f t="shared" si="7"/>
        <v/>
      </c>
      <c r="N89" s="11" t="str">
        <f t="shared" si="8"/>
        <v/>
      </c>
      <c r="O89" s="11" t="str">
        <f t="shared" si="9"/>
        <v/>
      </c>
      <c r="P89" s="11" t="str">
        <f t="shared" si="10"/>
        <v/>
      </c>
    </row>
    <row r="90" spans="1:16">
      <c r="A90" s="7"/>
      <c r="B90" s="8"/>
      <c r="C90" s="8"/>
      <c r="D90" s="8"/>
      <c r="E90" s="9"/>
      <c r="F90" s="9"/>
      <c r="G90" s="8"/>
      <c r="H90" s="8"/>
      <c r="I90" s="8"/>
      <c r="J90" s="10" t="str">
        <f t="shared" si="6"/>
        <v/>
      </c>
      <c r="K90" s="11" t="str">
        <f>IF($B90="","",IF(COUNTIFS(#REF!,$C90,#REF!,$B90)&gt;0,"OK","NAME / ID MISMATCH"))</f>
        <v/>
      </c>
      <c r="L90" s="11" t="str">
        <f>IF($B90="","",IF(COUNTIFS(#REF!,$A90,#REF!,$D90,#REF!,$G90)&gt;0,"OK","INVALID SITE CODE"))</f>
        <v/>
      </c>
      <c r="M90" s="11" t="str">
        <f t="shared" si="7"/>
        <v/>
      </c>
      <c r="N90" s="11" t="str">
        <f t="shared" si="8"/>
        <v/>
      </c>
      <c r="O90" s="11" t="str">
        <f t="shared" si="9"/>
        <v/>
      </c>
      <c r="P90" s="11" t="str">
        <f t="shared" si="10"/>
        <v/>
      </c>
    </row>
    <row r="91" spans="1:16">
      <c r="A91" s="7"/>
      <c r="B91" s="8"/>
      <c r="C91" s="8"/>
      <c r="D91" s="8"/>
      <c r="E91" s="9"/>
      <c r="F91" s="9"/>
      <c r="G91" s="8"/>
      <c r="H91" s="8"/>
      <c r="I91" s="8"/>
      <c r="J91" s="10" t="str">
        <f t="shared" si="6"/>
        <v/>
      </c>
      <c r="K91" s="11" t="str">
        <f>IF($B91="","",IF(COUNTIFS(#REF!,$C91,#REF!,$B91)&gt;0,"OK","NAME / ID MISMATCH"))</f>
        <v/>
      </c>
      <c r="L91" s="11" t="str">
        <f>IF($B91="","",IF(COUNTIFS(#REF!,$A91,#REF!,$D91,#REF!,$G91)&gt;0,"OK","INVALID SITE CODE"))</f>
        <v/>
      </c>
      <c r="M91" s="11" t="str">
        <f t="shared" si="7"/>
        <v/>
      </c>
      <c r="N91" s="11" t="str">
        <f t="shared" si="8"/>
        <v/>
      </c>
      <c r="O91" s="11" t="str">
        <f t="shared" si="9"/>
        <v/>
      </c>
      <c r="P91" s="11" t="str">
        <f t="shared" si="10"/>
        <v/>
      </c>
    </row>
    <row r="92" spans="1:16">
      <c r="A92" s="7"/>
      <c r="B92" s="8"/>
      <c r="C92" s="8"/>
      <c r="D92" s="8"/>
      <c r="E92" s="9"/>
      <c r="F92" s="9"/>
      <c r="G92" s="8"/>
      <c r="H92" s="8"/>
      <c r="I92" s="8"/>
      <c r="J92" s="10" t="str">
        <f t="shared" si="6"/>
        <v/>
      </c>
      <c r="K92" s="11" t="str">
        <f>IF($B92="","",IF(COUNTIFS(#REF!,$C92,#REF!,$B92)&gt;0,"OK","NAME / ID MISMATCH"))</f>
        <v/>
      </c>
      <c r="L92" s="11" t="str">
        <f>IF($B92="","",IF(COUNTIFS(#REF!,$A92,#REF!,$D92,#REF!,$G92)&gt;0,"OK","INVALID SITE CODE"))</f>
        <v/>
      </c>
      <c r="M92" s="11" t="str">
        <f t="shared" si="7"/>
        <v/>
      </c>
      <c r="N92" s="11" t="str">
        <f t="shared" si="8"/>
        <v/>
      </c>
      <c r="O92" s="11" t="str">
        <f t="shared" si="9"/>
        <v/>
      </c>
      <c r="P92" s="11" t="str">
        <f t="shared" si="10"/>
        <v/>
      </c>
    </row>
    <row r="93" spans="1:16">
      <c r="A93" s="7"/>
      <c r="B93" s="8"/>
      <c r="C93" s="8"/>
      <c r="D93" s="8"/>
      <c r="E93" s="9"/>
      <c r="F93" s="9"/>
      <c r="G93" s="8"/>
      <c r="H93" s="8"/>
      <c r="I93" s="8"/>
      <c r="J93" s="10" t="str">
        <f t="shared" si="6"/>
        <v/>
      </c>
      <c r="K93" s="11" t="str">
        <f>IF($B93="","",IF(COUNTIFS(#REF!,$C93,#REF!,$B93)&gt;0,"OK","NAME / ID MISMATCH"))</f>
        <v/>
      </c>
      <c r="L93" s="11" t="str">
        <f>IF($B93="","",IF(COUNTIFS(#REF!,$A93,#REF!,$D93,#REF!,$G93)&gt;0,"OK","INVALID SITE CODE"))</f>
        <v/>
      </c>
      <c r="M93" s="11" t="str">
        <f t="shared" si="7"/>
        <v/>
      </c>
      <c r="N93" s="11" t="str">
        <f t="shared" si="8"/>
        <v/>
      </c>
      <c r="O93" s="11" t="str">
        <f t="shared" si="9"/>
        <v/>
      </c>
      <c r="P93" s="11" t="str">
        <f t="shared" si="10"/>
        <v/>
      </c>
    </row>
    <row r="94" spans="1:16">
      <c r="A94" s="7"/>
      <c r="B94" s="8"/>
      <c r="C94" s="8"/>
      <c r="D94" s="8"/>
      <c r="E94" s="9"/>
      <c r="F94" s="9"/>
      <c r="G94" s="8"/>
      <c r="H94" s="8"/>
      <c r="I94" s="8"/>
      <c r="J94" s="10" t="str">
        <f t="shared" si="6"/>
        <v/>
      </c>
      <c r="K94" s="11" t="str">
        <f>IF($B94="","",IF(COUNTIFS(#REF!,$C94,#REF!,$B94)&gt;0,"OK","NAME / ID MISMATCH"))</f>
        <v/>
      </c>
      <c r="L94" s="11" t="str">
        <f>IF($B94="","",IF(COUNTIFS(#REF!,$A94,#REF!,$D94,#REF!,$G94)&gt;0,"OK","INVALID SITE CODE"))</f>
        <v/>
      </c>
      <c r="M94" s="11" t="str">
        <f t="shared" si="7"/>
        <v/>
      </c>
      <c r="N94" s="11" t="str">
        <f t="shared" si="8"/>
        <v/>
      </c>
      <c r="O94" s="11" t="str">
        <f t="shared" si="9"/>
        <v/>
      </c>
      <c r="P94" s="11" t="str">
        <f t="shared" si="10"/>
        <v/>
      </c>
    </row>
    <row r="95" spans="1:16">
      <c r="A95" s="7"/>
      <c r="B95" s="8"/>
      <c r="C95" s="8"/>
      <c r="D95" s="8"/>
      <c r="E95" s="9"/>
      <c r="F95" s="9"/>
      <c r="G95" s="8"/>
      <c r="H95" s="8"/>
      <c r="I95" s="8"/>
      <c r="J95" s="10" t="str">
        <f t="shared" si="6"/>
        <v/>
      </c>
      <c r="K95" s="11" t="str">
        <f>IF($B95="","",IF(COUNTIFS(#REF!,$C95,#REF!,$B95)&gt;0,"OK","NAME / ID MISMATCH"))</f>
        <v/>
      </c>
      <c r="L95" s="11" t="str">
        <f>IF($B95="","",IF(COUNTIFS(#REF!,$A95,#REF!,$D95,#REF!,$G95)&gt;0,"OK","INVALID SITE CODE"))</f>
        <v/>
      </c>
      <c r="M95" s="11" t="str">
        <f t="shared" si="7"/>
        <v/>
      </c>
      <c r="N95" s="11" t="str">
        <f t="shared" si="8"/>
        <v/>
      </c>
      <c r="O95" s="11" t="str">
        <f t="shared" si="9"/>
        <v/>
      </c>
      <c r="P95" s="11" t="str">
        <f t="shared" si="10"/>
        <v/>
      </c>
    </row>
    <row r="96" spans="1:16">
      <c r="A96" s="7"/>
      <c r="B96" s="8"/>
      <c r="C96" s="8"/>
      <c r="D96" s="8"/>
      <c r="E96" s="9"/>
      <c r="F96" s="9"/>
      <c r="G96" s="8"/>
      <c r="H96" s="8"/>
      <c r="I96" s="8"/>
      <c r="J96" s="10" t="str">
        <f t="shared" si="6"/>
        <v/>
      </c>
      <c r="K96" s="11" t="str">
        <f>IF($B96="","",IF(COUNTIFS(#REF!,$C96,#REF!,$B96)&gt;0,"OK","NAME / ID MISMATCH"))</f>
        <v/>
      </c>
      <c r="L96" s="11" t="str">
        <f>IF($B96="","",IF(COUNTIFS(#REF!,$A96,#REF!,$D96,#REF!,$G96)&gt;0,"OK","INVALID SITE CODE"))</f>
        <v/>
      </c>
      <c r="M96" s="11" t="str">
        <f t="shared" si="7"/>
        <v/>
      </c>
      <c r="N96" s="11" t="str">
        <f t="shared" si="8"/>
        <v/>
      </c>
      <c r="O96" s="11" t="str">
        <f t="shared" si="9"/>
        <v/>
      </c>
      <c r="P96" s="11" t="str">
        <f t="shared" si="10"/>
        <v/>
      </c>
    </row>
    <row r="97" spans="1:16">
      <c r="A97" s="7"/>
      <c r="B97" s="8"/>
      <c r="C97" s="8"/>
      <c r="D97" s="8"/>
      <c r="E97" s="9"/>
      <c r="F97" s="9"/>
      <c r="G97" s="8"/>
      <c r="H97" s="8"/>
      <c r="I97" s="8"/>
      <c r="J97" s="10" t="str">
        <f t="shared" si="6"/>
        <v/>
      </c>
      <c r="K97" s="11" t="str">
        <f>IF($B97="","",IF(COUNTIFS(#REF!,$C97,#REF!,$B97)&gt;0,"OK","NAME / ID MISMATCH"))</f>
        <v/>
      </c>
      <c r="L97" s="11" t="str">
        <f>IF($B97="","",IF(COUNTIFS(#REF!,$A97,#REF!,$D97,#REF!,$G97)&gt;0,"OK","INVALID SITE CODE"))</f>
        <v/>
      </c>
      <c r="M97" s="11" t="str">
        <f t="shared" si="7"/>
        <v/>
      </c>
      <c r="N97" s="11" t="str">
        <f t="shared" si="8"/>
        <v/>
      </c>
      <c r="O97" s="11" t="str">
        <f t="shared" si="9"/>
        <v/>
      </c>
      <c r="P97" s="11" t="str">
        <f t="shared" si="10"/>
        <v/>
      </c>
    </row>
    <row r="98" spans="1:16">
      <c r="A98" s="7"/>
      <c r="B98" s="8"/>
      <c r="C98" s="8"/>
      <c r="D98" s="8"/>
      <c r="E98" s="9"/>
      <c r="F98" s="9"/>
      <c r="G98" s="8"/>
      <c r="H98" s="8"/>
      <c r="I98" s="8"/>
      <c r="J98" s="10" t="str">
        <f t="shared" si="6"/>
        <v/>
      </c>
      <c r="K98" s="11" t="str">
        <f>IF($B98="","",IF(COUNTIFS(#REF!,$C98,#REF!,$B98)&gt;0,"OK","NAME / ID MISMATCH"))</f>
        <v/>
      </c>
      <c r="L98" s="11" t="str">
        <f>IF($B98="","",IF(COUNTIFS(#REF!,$A98,#REF!,$D98,#REF!,$G98)&gt;0,"OK","INVALID SITE CODE"))</f>
        <v/>
      </c>
      <c r="M98" s="11" t="str">
        <f t="shared" si="7"/>
        <v/>
      </c>
      <c r="N98" s="11" t="str">
        <f t="shared" si="8"/>
        <v/>
      </c>
      <c r="O98" s="11" t="str">
        <f t="shared" si="9"/>
        <v/>
      </c>
      <c r="P98" s="11" t="str">
        <f t="shared" si="10"/>
        <v/>
      </c>
    </row>
    <row r="99" spans="1:16">
      <c r="A99" s="7"/>
      <c r="B99" s="8"/>
      <c r="C99" s="8"/>
      <c r="D99" s="8"/>
      <c r="E99" s="9"/>
      <c r="F99" s="9"/>
      <c r="G99" s="8"/>
      <c r="H99" s="8"/>
      <c r="I99" s="8"/>
      <c r="J99" s="10" t="str">
        <f t="shared" si="6"/>
        <v/>
      </c>
      <c r="K99" s="11" t="str">
        <f>IF($B99="","",IF(COUNTIFS(#REF!,$C99,#REF!,$B99)&gt;0,"OK","NAME / ID MISMATCH"))</f>
        <v/>
      </c>
      <c r="L99" s="11" t="str">
        <f>IF($B99="","",IF(COUNTIFS(#REF!,$A99,#REF!,$D99,#REF!,$G99)&gt;0,"OK","INVALID SITE CODE"))</f>
        <v/>
      </c>
      <c r="M99" s="11" t="str">
        <f t="shared" si="7"/>
        <v/>
      </c>
      <c r="N99" s="11" t="str">
        <f t="shared" si="8"/>
        <v/>
      </c>
      <c r="O99" s="11" t="str">
        <f t="shared" si="9"/>
        <v/>
      </c>
      <c r="P99" s="11" t="str">
        <f t="shared" si="10"/>
        <v/>
      </c>
    </row>
    <row r="100" spans="1:16">
      <c r="A100" s="7"/>
      <c r="B100" s="8"/>
      <c r="C100" s="8"/>
      <c r="D100" s="8"/>
      <c r="E100" s="9"/>
      <c r="F100" s="9"/>
      <c r="G100" s="8"/>
      <c r="H100" s="8"/>
      <c r="I100" s="8"/>
      <c r="J100" s="10" t="str">
        <f t="shared" si="6"/>
        <v/>
      </c>
      <c r="K100" s="11" t="str">
        <f>IF($B100="","",IF(COUNTIFS(#REF!,$C100,#REF!,$B100)&gt;0,"OK","NAME / ID MISMATCH"))</f>
        <v/>
      </c>
      <c r="L100" s="11" t="str">
        <f>IF($B100="","",IF(COUNTIFS(#REF!,$A100,#REF!,$D100,#REF!,$G100)&gt;0,"OK","INVALID SITE CODE"))</f>
        <v/>
      </c>
      <c r="M100" s="11" t="str">
        <f t="shared" si="7"/>
        <v/>
      </c>
      <c r="N100" s="11" t="str">
        <f t="shared" si="8"/>
        <v/>
      </c>
      <c r="O100" s="11" t="str">
        <f t="shared" si="9"/>
        <v/>
      </c>
      <c r="P100" s="11" t="str">
        <f t="shared" si="10"/>
        <v/>
      </c>
    </row>
    <row r="101" spans="1:16">
      <c r="A101" s="7"/>
      <c r="B101" s="8"/>
      <c r="C101" s="8"/>
      <c r="D101" s="8"/>
      <c r="E101" s="9"/>
      <c r="F101" s="9"/>
      <c r="G101" s="8"/>
      <c r="H101" s="8"/>
      <c r="I101" s="8"/>
      <c r="J101" s="10" t="str">
        <f t="shared" si="6"/>
        <v/>
      </c>
      <c r="K101" s="11" t="str">
        <f>IF($B101="","",IF(COUNTIFS(#REF!,$C101,#REF!,$B101)&gt;0,"OK","NAME / ID MISMATCH"))</f>
        <v/>
      </c>
      <c r="L101" s="11" t="str">
        <f>IF($B101="","",IF(COUNTIFS(#REF!,$A101,#REF!,$D101,#REF!,$G101)&gt;0,"OK","INVALID SITE CODE"))</f>
        <v/>
      </c>
      <c r="M101" s="11" t="str">
        <f t="shared" si="7"/>
        <v/>
      </c>
      <c r="N101" s="11" t="str">
        <f t="shared" si="8"/>
        <v/>
      </c>
      <c r="O101" s="11" t="str">
        <f t="shared" si="9"/>
        <v/>
      </c>
      <c r="P101" s="11" t="str">
        <f t="shared" si="10"/>
        <v/>
      </c>
    </row>
    <row r="102" spans="1:16">
      <c r="A102" s="7"/>
      <c r="B102" s="8"/>
      <c r="C102" s="8"/>
      <c r="D102" s="8"/>
      <c r="E102" s="9"/>
      <c r="F102" s="9"/>
      <c r="G102" s="8"/>
      <c r="H102" s="8"/>
      <c r="I102" s="8"/>
      <c r="J102" s="10" t="str">
        <f t="shared" si="6"/>
        <v/>
      </c>
      <c r="K102" s="11" t="str">
        <f>IF($B102="","",IF(COUNTIFS(#REF!,$C102,#REF!,$B102)&gt;0,"OK","NAME / ID MISMATCH"))</f>
        <v/>
      </c>
      <c r="L102" s="11" t="str">
        <f>IF($B102="","",IF(COUNTIFS(#REF!,$A102,#REF!,$D102,#REF!,$G102)&gt;0,"OK","INVALID SITE CODE"))</f>
        <v/>
      </c>
      <c r="M102" s="11" t="str">
        <f t="shared" si="7"/>
        <v/>
      </c>
      <c r="N102" s="11" t="str">
        <f t="shared" si="8"/>
        <v/>
      </c>
      <c r="O102" s="11" t="str">
        <f t="shared" si="9"/>
        <v/>
      </c>
      <c r="P102" s="11" t="str">
        <f t="shared" si="10"/>
        <v/>
      </c>
    </row>
    <row r="103" spans="1:16">
      <c r="A103" s="7"/>
      <c r="B103" s="8"/>
      <c r="C103" s="8"/>
      <c r="D103" s="8"/>
      <c r="E103" s="9"/>
      <c r="F103" s="9"/>
      <c r="G103" s="8"/>
      <c r="H103" s="8"/>
      <c r="I103" s="8"/>
      <c r="J103" s="10" t="str">
        <f t="shared" si="6"/>
        <v/>
      </c>
      <c r="K103" s="11" t="str">
        <f>IF($B103="","",IF(COUNTIFS(#REF!,$C103,#REF!,$B103)&gt;0,"OK","NAME / ID MISMATCH"))</f>
        <v/>
      </c>
      <c r="L103" s="11" t="str">
        <f>IF($B103="","",IF(COUNTIFS(#REF!,$A103,#REF!,$D103,#REF!,$G103)&gt;0,"OK","INVALID SITE CODE"))</f>
        <v/>
      </c>
      <c r="M103" s="11" t="str">
        <f t="shared" si="7"/>
        <v/>
      </c>
      <c r="N103" s="11" t="str">
        <f t="shared" si="8"/>
        <v/>
      </c>
      <c r="O103" s="11" t="str">
        <f t="shared" si="9"/>
        <v/>
      </c>
      <c r="P103" s="11" t="str">
        <f t="shared" si="10"/>
        <v/>
      </c>
    </row>
    <row r="104" spans="1:16">
      <c r="A104" s="7"/>
      <c r="B104" s="8"/>
      <c r="C104" s="8"/>
      <c r="D104" s="8"/>
      <c r="E104" s="9"/>
      <c r="F104" s="9"/>
      <c r="G104" s="8"/>
      <c r="H104" s="8"/>
      <c r="I104" s="8"/>
      <c r="J104" s="10" t="str">
        <f t="shared" si="6"/>
        <v/>
      </c>
      <c r="K104" s="11" t="str">
        <f>IF($B104="","",IF(COUNTIFS(#REF!,$C104,#REF!,$B104)&gt;0,"OK","NAME / ID MISMATCH"))</f>
        <v/>
      </c>
      <c r="L104" s="11" t="str">
        <f>IF($B104="","",IF(COUNTIFS(#REF!,$A104,#REF!,$D104,#REF!,$G104)&gt;0,"OK","INVALID SITE CODE"))</f>
        <v/>
      </c>
      <c r="M104" s="11" t="str">
        <f t="shared" si="7"/>
        <v/>
      </c>
      <c r="N104" s="11" t="str">
        <f t="shared" si="8"/>
        <v/>
      </c>
      <c r="O104" s="11" t="str">
        <f t="shared" si="9"/>
        <v/>
      </c>
      <c r="P104" s="11" t="str">
        <f t="shared" si="10"/>
        <v/>
      </c>
    </row>
    <row r="105" spans="1:16">
      <c r="A105" s="7"/>
      <c r="B105" s="8"/>
      <c r="C105" s="8"/>
      <c r="D105" s="8"/>
      <c r="E105" s="9"/>
      <c r="F105" s="9"/>
      <c r="G105" s="8"/>
      <c r="H105" s="8"/>
      <c r="I105" s="8"/>
      <c r="J105" s="10" t="str">
        <f t="shared" si="6"/>
        <v/>
      </c>
      <c r="K105" s="11" t="str">
        <f>IF($B105="","",IF(COUNTIFS(#REF!,$C105,#REF!,$B105)&gt;0,"OK","NAME / ID MISMATCH"))</f>
        <v/>
      </c>
      <c r="L105" s="11" t="str">
        <f>IF($B105="","",IF(COUNTIFS(#REF!,$A105,#REF!,$D105,#REF!,$G105)&gt;0,"OK","INVALID SITE CODE"))</f>
        <v/>
      </c>
      <c r="M105" s="11" t="str">
        <f t="shared" si="7"/>
        <v/>
      </c>
      <c r="N105" s="11" t="str">
        <f t="shared" si="8"/>
        <v/>
      </c>
      <c r="O105" s="11" t="str">
        <f t="shared" si="9"/>
        <v/>
      </c>
      <c r="P105" s="11" t="str">
        <f t="shared" si="10"/>
        <v/>
      </c>
    </row>
    <row r="106" spans="1:16">
      <c r="A106" s="7"/>
      <c r="B106" s="8"/>
      <c r="C106" s="8"/>
      <c r="D106" s="8"/>
      <c r="E106" s="9"/>
      <c r="F106" s="9"/>
      <c r="G106" s="8"/>
      <c r="H106" s="8"/>
      <c r="I106" s="8"/>
      <c r="J106" s="10" t="str">
        <f t="shared" si="6"/>
        <v/>
      </c>
      <c r="K106" s="11" t="str">
        <f>IF($B106="","",IF(COUNTIFS(#REF!,$C106,#REF!,$B106)&gt;0,"OK","NAME / ID MISMATCH"))</f>
        <v/>
      </c>
      <c r="L106" s="11" t="str">
        <f>IF($B106="","",IF(COUNTIFS(#REF!,$A106,#REF!,$D106,#REF!,$G106)&gt;0,"OK","INVALID SITE CODE"))</f>
        <v/>
      </c>
      <c r="M106" s="11" t="str">
        <f t="shared" si="7"/>
        <v/>
      </c>
      <c r="N106" s="11" t="str">
        <f t="shared" si="8"/>
        <v/>
      </c>
      <c r="O106" s="11" t="str">
        <f t="shared" si="9"/>
        <v/>
      </c>
      <c r="P106" s="11" t="str">
        <f t="shared" si="10"/>
        <v/>
      </c>
    </row>
    <row r="107" spans="1:16">
      <c r="A107" s="7"/>
      <c r="B107" s="8"/>
      <c r="C107" s="8"/>
      <c r="D107" s="8"/>
      <c r="E107" s="9"/>
      <c r="F107" s="9"/>
      <c r="G107" s="8"/>
      <c r="H107" s="8"/>
      <c r="I107" s="8"/>
      <c r="J107" s="10" t="str">
        <f t="shared" si="6"/>
        <v/>
      </c>
      <c r="K107" s="11" t="str">
        <f>IF($B107="","",IF(COUNTIFS(#REF!,$C107,#REF!,$B107)&gt;0,"OK","NAME / ID MISMATCH"))</f>
        <v/>
      </c>
      <c r="L107" s="11" t="str">
        <f>IF($B107="","",IF(COUNTIFS(#REF!,$A107,#REF!,$D107,#REF!,$G107)&gt;0,"OK","INVALID SITE CODE"))</f>
        <v/>
      </c>
      <c r="M107" s="11" t="str">
        <f t="shared" si="7"/>
        <v/>
      </c>
      <c r="N107" s="11" t="str">
        <f t="shared" si="8"/>
        <v/>
      </c>
      <c r="O107" s="11" t="str">
        <f t="shared" si="9"/>
        <v/>
      </c>
      <c r="P107" s="11" t="str">
        <f t="shared" si="10"/>
        <v/>
      </c>
    </row>
    <row r="108" spans="1:16">
      <c r="A108" s="7"/>
      <c r="B108" s="8"/>
      <c r="C108" s="8"/>
      <c r="D108" s="8"/>
      <c r="E108" s="9"/>
      <c r="F108" s="9"/>
      <c r="G108" s="8"/>
      <c r="H108" s="8"/>
      <c r="I108" s="8"/>
      <c r="J108" s="10" t="str">
        <f t="shared" si="6"/>
        <v/>
      </c>
      <c r="K108" s="11" t="str">
        <f>IF($B108="","",IF(COUNTIFS(#REF!,$C108,#REF!,$B108)&gt;0,"OK","NAME / ID MISMATCH"))</f>
        <v/>
      </c>
      <c r="L108" s="11" t="str">
        <f>IF($B108="","",IF(COUNTIFS(#REF!,$A108,#REF!,$D108,#REF!,$G108)&gt;0,"OK","INVALID SITE CODE"))</f>
        <v/>
      </c>
      <c r="M108" s="11" t="str">
        <f t="shared" si="7"/>
        <v/>
      </c>
      <c r="N108" s="11" t="str">
        <f t="shared" si="8"/>
        <v/>
      </c>
      <c r="O108" s="11" t="str">
        <f t="shared" si="9"/>
        <v/>
      </c>
      <c r="P108" s="11" t="str">
        <f t="shared" si="10"/>
        <v/>
      </c>
    </row>
    <row r="109" spans="1:16">
      <c r="A109" s="7"/>
      <c r="B109" s="8"/>
      <c r="C109" s="8"/>
      <c r="D109" s="8"/>
      <c r="E109" s="9"/>
      <c r="F109" s="9"/>
      <c r="G109" s="8"/>
      <c r="H109" s="8"/>
      <c r="I109" s="8"/>
      <c r="J109" s="10" t="str">
        <f t="shared" si="6"/>
        <v/>
      </c>
      <c r="K109" s="11" t="str">
        <f>IF($B109="","",IF(COUNTIFS(#REF!,$C109,#REF!,$B109)&gt;0,"OK","NAME / ID MISMATCH"))</f>
        <v/>
      </c>
      <c r="L109" s="11" t="str">
        <f>IF($B109="","",IF(COUNTIFS(#REF!,$A109,#REF!,$D109,#REF!,$G109)&gt;0,"OK","INVALID SITE CODE"))</f>
        <v/>
      </c>
      <c r="M109" s="11" t="str">
        <f t="shared" si="7"/>
        <v/>
      </c>
      <c r="N109" s="11" t="str">
        <f t="shared" si="8"/>
        <v/>
      </c>
      <c r="O109" s="11" t="str">
        <f t="shared" si="9"/>
        <v/>
      </c>
      <c r="P109" s="11" t="str">
        <f t="shared" si="10"/>
        <v/>
      </c>
    </row>
    <row r="110" spans="1:16">
      <c r="A110" s="7"/>
      <c r="B110" s="8"/>
      <c r="C110" s="8"/>
      <c r="D110" s="8"/>
      <c r="E110" s="9"/>
      <c r="F110" s="9"/>
      <c r="G110" s="8"/>
      <c r="H110" s="8"/>
      <c r="I110" s="8"/>
      <c r="J110" s="10" t="str">
        <f t="shared" si="6"/>
        <v/>
      </c>
      <c r="K110" s="11" t="str">
        <f>IF($B110="","",IF(COUNTIFS(#REF!,$C110,#REF!,$B110)&gt;0,"OK","NAME / ID MISMATCH"))</f>
        <v/>
      </c>
      <c r="L110" s="11" t="str">
        <f>IF($B110="","",IF(COUNTIFS(#REF!,$A110,#REF!,$D110,#REF!,$G110)&gt;0,"OK","INVALID SITE CODE"))</f>
        <v/>
      </c>
      <c r="M110" s="11" t="str">
        <f t="shared" si="7"/>
        <v/>
      </c>
      <c r="N110" s="11" t="str">
        <f t="shared" si="8"/>
        <v/>
      </c>
      <c r="O110" s="11" t="str">
        <f t="shared" si="9"/>
        <v/>
      </c>
      <c r="P110" s="11" t="str">
        <f t="shared" si="10"/>
        <v/>
      </c>
    </row>
    <row r="111" spans="1:16">
      <c r="A111" s="7"/>
      <c r="B111" s="8"/>
      <c r="C111" s="8"/>
      <c r="D111" s="8"/>
      <c r="E111" s="9"/>
      <c r="F111" s="9"/>
      <c r="G111" s="8"/>
      <c r="H111" s="8"/>
      <c r="I111" s="8"/>
      <c r="J111" s="10" t="str">
        <f t="shared" si="6"/>
        <v/>
      </c>
      <c r="K111" s="11" t="str">
        <f>IF($B111="","",IF(COUNTIFS(#REF!,$C111,#REF!,$B111)&gt;0,"OK","NAME / ID MISMATCH"))</f>
        <v/>
      </c>
      <c r="L111" s="11" t="str">
        <f>IF($B111="","",IF(COUNTIFS(#REF!,$A111,#REF!,$D111,#REF!,$G111)&gt;0,"OK","INVALID SITE CODE"))</f>
        <v/>
      </c>
      <c r="M111" s="11" t="str">
        <f t="shared" si="7"/>
        <v/>
      </c>
      <c r="N111" s="11" t="str">
        <f t="shared" si="8"/>
        <v/>
      </c>
      <c r="O111" s="11" t="str">
        <f t="shared" si="9"/>
        <v/>
      </c>
      <c r="P111" s="11" t="str">
        <f t="shared" si="10"/>
        <v/>
      </c>
    </row>
    <row r="112" spans="1:16">
      <c r="A112" s="7"/>
      <c r="B112" s="8"/>
      <c r="C112" s="8"/>
      <c r="D112" s="8"/>
      <c r="E112" s="9"/>
      <c r="F112" s="9"/>
      <c r="G112" s="8"/>
      <c r="H112" s="8"/>
      <c r="I112" s="8"/>
      <c r="J112" s="10" t="str">
        <f t="shared" si="6"/>
        <v/>
      </c>
      <c r="K112" s="11" t="str">
        <f>IF($B112="","",IF(COUNTIFS(#REF!,$C112,#REF!,$B112)&gt;0,"OK","NAME / ID MISMATCH"))</f>
        <v/>
      </c>
      <c r="L112" s="11" t="str">
        <f>IF($B112="","",IF(COUNTIFS(#REF!,$A112,#REF!,$D112,#REF!,$G112)&gt;0,"OK","INVALID SITE CODE"))</f>
        <v/>
      </c>
      <c r="M112" s="11" t="str">
        <f t="shared" si="7"/>
        <v/>
      </c>
      <c r="N112" s="11" t="str">
        <f t="shared" si="8"/>
        <v/>
      </c>
      <c r="O112" s="11" t="str">
        <f t="shared" si="9"/>
        <v/>
      </c>
      <c r="P112" s="11" t="str">
        <f t="shared" si="10"/>
        <v/>
      </c>
    </row>
    <row r="113" spans="1:16">
      <c r="A113" s="7"/>
      <c r="B113" s="8"/>
      <c r="C113" s="8"/>
      <c r="D113" s="8"/>
      <c r="E113" s="9"/>
      <c r="F113" s="9"/>
      <c r="G113" s="8"/>
      <c r="H113" s="8"/>
      <c r="I113" s="8"/>
      <c r="J113" s="10" t="str">
        <f t="shared" si="6"/>
        <v/>
      </c>
      <c r="K113" s="11" t="str">
        <f>IF($B113="","",IF(COUNTIFS(#REF!,$C113,#REF!,$B113)&gt;0,"OK","NAME / ID MISMATCH"))</f>
        <v/>
      </c>
      <c r="L113" s="11" t="str">
        <f>IF($B113="","",IF(COUNTIFS(#REF!,$A113,#REF!,$D113,#REF!,$G113)&gt;0,"OK","INVALID SITE CODE"))</f>
        <v/>
      </c>
      <c r="M113" s="11" t="str">
        <f t="shared" si="7"/>
        <v/>
      </c>
      <c r="N113" s="11" t="str">
        <f t="shared" si="8"/>
        <v/>
      </c>
      <c r="O113" s="11" t="str">
        <f t="shared" si="9"/>
        <v/>
      </c>
      <c r="P113" s="11" t="str">
        <f t="shared" si="10"/>
        <v/>
      </c>
    </row>
    <row r="114" spans="1:16">
      <c r="A114" s="7"/>
      <c r="B114" s="8"/>
      <c r="C114" s="8"/>
      <c r="D114" s="8"/>
      <c r="E114" s="9"/>
      <c r="F114" s="9"/>
      <c r="G114" s="8"/>
      <c r="H114" s="8"/>
      <c r="I114" s="8"/>
      <c r="J114" s="10" t="str">
        <f t="shared" si="6"/>
        <v/>
      </c>
      <c r="K114" s="11" t="str">
        <f>IF($B114="","",IF(COUNTIFS(#REF!,$C114,#REF!,$B114)&gt;0,"OK","NAME / ID MISMATCH"))</f>
        <v/>
      </c>
      <c r="L114" s="11" t="str">
        <f>IF($B114="","",IF(COUNTIFS(#REF!,$A114,#REF!,$D114,#REF!,$G114)&gt;0,"OK","INVALID SITE CODE"))</f>
        <v/>
      </c>
      <c r="M114" s="11" t="str">
        <f t="shared" si="7"/>
        <v/>
      </c>
      <c r="N114" s="11" t="str">
        <f t="shared" si="8"/>
        <v/>
      </c>
      <c r="O114" s="11" t="str">
        <f t="shared" si="9"/>
        <v/>
      </c>
      <c r="P114" s="11" t="str">
        <f t="shared" si="10"/>
        <v/>
      </c>
    </row>
    <row r="115" spans="1:16">
      <c r="A115" s="7"/>
      <c r="B115" s="8"/>
      <c r="C115" s="8"/>
      <c r="D115" s="8"/>
      <c r="E115" s="9"/>
      <c r="F115" s="9"/>
      <c r="G115" s="8"/>
      <c r="H115" s="8"/>
      <c r="I115" s="8"/>
      <c r="J115" s="10" t="str">
        <f t="shared" si="6"/>
        <v/>
      </c>
      <c r="K115" s="11" t="str">
        <f>IF($B115="","",IF(COUNTIFS(#REF!,$C115,#REF!,$B115)&gt;0,"OK","NAME / ID MISMATCH"))</f>
        <v/>
      </c>
      <c r="L115" s="11" t="str">
        <f>IF($B115="","",IF(COUNTIFS(#REF!,$A115,#REF!,$D115,#REF!,$G115)&gt;0,"OK","INVALID SITE CODE"))</f>
        <v/>
      </c>
      <c r="M115" s="11" t="str">
        <f t="shared" si="7"/>
        <v/>
      </c>
      <c r="N115" s="11" t="str">
        <f t="shared" si="8"/>
        <v/>
      </c>
      <c r="O115" s="11" t="str">
        <f t="shared" si="9"/>
        <v/>
      </c>
      <c r="P115" s="11" t="str">
        <f t="shared" si="10"/>
        <v/>
      </c>
    </row>
    <row r="116" spans="1:16">
      <c r="A116" s="7"/>
      <c r="B116" s="8"/>
      <c r="C116" s="8"/>
      <c r="D116" s="8"/>
      <c r="E116" s="9"/>
      <c r="F116" s="9"/>
      <c r="G116" s="8"/>
      <c r="H116" s="8"/>
      <c r="I116" s="8"/>
      <c r="J116" s="10" t="str">
        <f t="shared" si="6"/>
        <v/>
      </c>
      <c r="K116" s="11" t="str">
        <f>IF($B116="","",IF(COUNTIFS(#REF!,$C116,#REF!,$B116)&gt;0,"OK","NAME / ID MISMATCH"))</f>
        <v/>
      </c>
      <c r="L116" s="11" t="str">
        <f>IF($B116="","",IF(COUNTIFS(#REF!,$A116,#REF!,$D116,#REF!,$G116)&gt;0,"OK","INVALID SITE CODE"))</f>
        <v/>
      </c>
      <c r="M116" s="11" t="str">
        <f t="shared" si="7"/>
        <v/>
      </c>
      <c r="N116" s="11" t="str">
        <f t="shared" si="8"/>
        <v/>
      </c>
      <c r="O116" s="11" t="str">
        <f t="shared" si="9"/>
        <v/>
      </c>
      <c r="P116" s="11" t="str">
        <f t="shared" si="10"/>
        <v/>
      </c>
    </row>
    <row r="117" spans="1:16">
      <c r="A117" s="7"/>
      <c r="B117" s="8"/>
      <c r="C117" s="8"/>
      <c r="D117" s="8"/>
      <c r="E117" s="9"/>
      <c r="F117" s="9"/>
      <c r="G117" s="8"/>
      <c r="H117" s="8"/>
      <c r="I117" s="8"/>
      <c r="J117" s="10" t="str">
        <f t="shared" si="6"/>
        <v/>
      </c>
      <c r="K117" s="11" t="str">
        <f>IF($B117="","",IF(COUNTIFS(#REF!,$C117,#REF!,$B117)&gt;0,"OK","NAME / ID MISMATCH"))</f>
        <v/>
      </c>
      <c r="L117" s="11" t="str">
        <f>IF($B117="","",IF(COUNTIFS(#REF!,$A117,#REF!,$D117,#REF!,$G117)&gt;0,"OK","INVALID SITE CODE"))</f>
        <v/>
      </c>
      <c r="M117" s="11" t="str">
        <f t="shared" si="7"/>
        <v/>
      </c>
      <c r="N117" s="11" t="str">
        <f t="shared" si="8"/>
        <v/>
      </c>
      <c r="O117" s="11" t="str">
        <f t="shared" si="9"/>
        <v/>
      </c>
      <c r="P117" s="11" t="str">
        <f t="shared" si="10"/>
        <v/>
      </c>
    </row>
    <row r="118" spans="1:16">
      <c r="A118" s="7"/>
      <c r="B118" s="8"/>
      <c r="C118" s="8"/>
      <c r="D118" s="8"/>
      <c r="E118" s="9"/>
      <c r="F118" s="9"/>
      <c r="G118" s="8"/>
      <c r="H118" s="8"/>
      <c r="I118" s="8"/>
      <c r="J118" s="10" t="str">
        <f t="shared" si="6"/>
        <v/>
      </c>
      <c r="K118" s="11" t="str">
        <f>IF($B118="","",IF(COUNTIFS(#REF!,$C118,#REF!,$B118)&gt;0,"OK","NAME / ID MISMATCH"))</f>
        <v/>
      </c>
      <c r="L118" s="11" t="str">
        <f>IF($B118="","",IF(COUNTIFS(#REF!,$A118,#REF!,$D118,#REF!,$G118)&gt;0,"OK","INVALID SITE CODE"))</f>
        <v/>
      </c>
      <c r="M118" s="11" t="str">
        <f t="shared" si="7"/>
        <v/>
      </c>
      <c r="N118" s="11" t="str">
        <f t="shared" si="8"/>
        <v/>
      </c>
      <c r="O118" s="11" t="str">
        <f t="shared" si="9"/>
        <v/>
      </c>
      <c r="P118" s="11" t="str">
        <f t="shared" si="10"/>
        <v/>
      </c>
    </row>
    <row r="119" spans="1:16">
      <c r="A119" s="7"/>
      <c r="B119" s="8"/>
      <c r="C119" s="8"/>
      <c r="D119" s="8"/>
      <c r="E119" s="9"/>
      <c r="F119" s="9"/>
      <c r="G119" s="8"/>
      <c r="H119" s="8"/>
      <c r="I119" s="8"/>
      <c r="J119" s="10" t="str">
        <f t="shared" si="6"/>
        <v/>
      </c>
      <c r="K119" s="11" t="str">
        <f>IF($B119="","",IF(COUNTIFS(#REF!,$C119,#REF!,$B119)&gt;0,"OK","NAME / ID MISMATCH"))</f>
        <v/>
      </c>
      <c r="L119" s="11" t="str">
        <f>IF($B119="","",IF(COUNTIFS(#REF!,$A119,#REF!,$D119,#REF!,$G119)&gt;0,"OK","INVALID SITE CODE"))</f>
        <v/>
      </c>
      <c r="M119" s="11" t="str">
        <f t="shared" si="7"/>
        <v/>
      </c>
      <c r="N119" s="11" t="str">
        <f t="shared" si="8"/>
        <v/>
      </c>
      <c r="O119" s="11" t="str">
        <f t="shared" si="9"/>
        <v/>
      </c>
      <c r="P119" s="11" t="str">
        <f t="shared" si="10"/>
        <v/>
      </c>
    </row>
    <row r="120" spans="1:16">
      <c r="A120" s="7"/>
      <c r="B120" s="8"/>
      <c r="C120" s="8"/>
      <c r="D120" s="8"/>
      <c r="E120" s="9"/>
      <c r="F120" s="9"/>
      <c r="G120" s="8"/>
      <c r="H120" s="8"/>
      <c r="I120" s="8"/>
      <c r="J120" s="10" t="str">
        <f t="shared" si="6"/>
        <v/>
      </c>
      <c r="K120" s="11" t="str">
        <f>IF($B120="","",IF(COUNTIFS(#REF!,$C120,#REF!,$B120)&gt;0,"OK","NAME / ID MISMATCH"))</f>
        <v/>
      </c>
      <c r="L120" s="11" t="str">
        <f>IF($B120="","",IF(COUNTIFS(#REF!,$A120,#REF!,$D120,#REF!,$G120)&gt;0,"OK","INVALID SITE CODE"))</f>
        <v/>
      </c>
      <c r="M120" s="11" t="str">
        <f t="shared" si="7"/>
        <v/>
      </c>
      <c r="N120" s="11" t="str">
        <f t="shared" si="8"/>
        <v/>
      </c>
      <c r="O120" s="11" t="str">
        <f t="shared" si="9"/>
        <v/>
      </c>
      <c r="P120" s="11" t="str">
        <f t="shared" si="10"/>
        <v/>
      </c>
    </row>
    <row r="121" spans="1:16">
      <c r="A121" s="7"/>
      <c r="B121" s="8"/>
      <c r="C121" s="8"/>
      <c r="D121" s="8"/>
      <c r="E121" s="9"/>
      <c r="F121" s="9"/>
      <c r="G121" s="8"/>
      <c r="H121" s="8"/>
      <c r="I121" s="8"/>
      <c r="J121" s="10" t="str">
        <f t="shared" si="6"/>
        <v/>
      </c>
      <c r="K121" s="11" t="str">
        <f>IF($B121="","",IF(COUNTIFS(#REF!,$C121,#REF!,$B121)&gt;0,"OK","NAME / ID MISMATCH"))</f>
        <v/>
      </c>
      <c r="L121" s="11" t="str">
        <f>IF($B121="","",IF(COUNTIFS(#REF!,$A121,#REF!,$D121,#REF!,$G121)&gt;0,"OK","INVALID SITE CODE"))</f>
        <v/>
      </c>
      <c r="M121" s="11" t="str">
        <f t="shared" si="7"/>
        <v/>
      </c>
      <c r="N121" s="11" t="str">
        <f t="shared" si="8"/>
        <v/>
      </c>
      <c r="O121" s="11" t="str">
        <f t="shared" si="9"/>
        <v/>
      </c>
      <c r="P121" s="11" t="str">
        <f t="shared" si="10"/>
        <v/>
      </c>
    </row>
    <row r="122" spans="1:16">
      <c r="A122" s="7"/>
      <c r="B122" s="8"/>
      <c r="C122" s="8"/>
      <c r="D122" s="8"/>
      <c r="E122" s="9"/>
      <c r="F122" s="9"/>
      <c r="G122" s="8"/>
      <c r="H122" s="8"/>
      <c r="I122" s="8"/>
      <c r="J122" s="10" t="str">
        <f t="shared" si="6"/>
        <v/>
      </c>
      <c r="K122" s="11" t="str">
        <f>IF($B122="","",IF(COUNTIFS(#REF!,$C122,#REF!,$B122)&gt;0,"OK","NAME / ID MISMATCH"))</f>
        <v/>
      </c>
      <c r="L122" s="11" t="str">
        <f>IF($B122="","",IF(COUNTIFS(#REF!,$A122,#REF!,$D122,#REF!,$G122)&gt;0,"OK","INVALID SITE CODE"))</f>
        <v/>
      </c>
      <c r="M122" s="11" t="str">
        <f t="shared" si="7"/>
        <v/>
      </c>
      <c r="N122" s="11" t="str">
        <f t="shared" si="8"/>
        <v/>
      </c>
      <c r="O122" s="11" t="str">
        <f t="shared" si="9"/>
        <v/>
      </c>
      <c r="P122" s="11" t="str">
        <f t="shared" si="10"/>
        <v/>
      </c>
    </row>
    <row r="123" spans="1:16">
      <c r="A123" s="7"/>
      <c r="B123" s="8"/>
      <c r="C123" s="8"/>
      <c r="D123" s="8"/>
      <c r="E123" s="9"/>
      <c r="F123" s="9"/>
      <c r="G123" s="8"/>
      <c r="H123" s="8"/>
      <c r="I123" s="8"/>
      <c r="J123" s="10" t="str">
        <f t="shared" si="6"/>
        <v/>
      </c>
      <c r="K123" s="11" t="str">
        <f>IF($B123="","",IF(COUNTIFS(#REF!,$C123,#REF!,$B123)&gt;0,"OK","NAME / ID MISMATCH"))</f>
        <v/>
      </c>
      <c r="L123" s="11" t="str">
        <f>IF($B123="","",IF(COUNTIFS(#REF!,$A123,#REF!,$D123,#REF!,$G123)&gt;0,"OK","INVALID SITE CODE"))</f>
        <v/>
      </c>
      <c r="M123" s="11" t="str">
        <f t="shared" si="7"/>
        <v/>
      </c>
      <c r="N123" s="11" t="str">
        <f t="shared" si="8"/>
        <v/>
      </c>
      <c r="O123" s="11" t="str">
        <f t="shared" si="9"/>
        <v/>
      </c>
      <c r="P123" s="11" t="str">
        <f t="shared" si="10"/>
        <v/>
      </c>
    </row>
    <row r="124" spans="1:16">
      <c r="A124" s="7"/>
      <c r="B124" s="8"/>
      <c r="C124" s="8"/>
      <c r="D124" s="8"/>
      <c r="E124" s="9"/>
      <c r="F124" s="9"/>
      <c r="G124" s="8"/>
      <c r="H124" s="8"/>
      <c r="I124" s="8"/>
      <c r="J124" s="10" t="str">
        <f t="shared" si="6"/>
        <v/>
      </c>
      <c r="K124" s="11" t="str">
        <f>IF($B124="","",IF(COUNTIFS(#REF!,$C124,#REF!,$B124)&gt;0,"OK","NAME / ID MISMATCH"))</f>
        <v/>
      </c>
      <c r="L124" s="11" t="str">
        <f>IF($B124="","",IF(COUNTIFS(#REF!,$A124,#REF!,$D124,#REF!,$G124)&gt;0,"OK","INVALID SITE CODE"))</f>
        <v/>
      </c>
      <c r="M124" s="11" t="str">
        <f t="shared" si="7"/>
        <v/>
      </c>
      <c r="N124" s="11" t="str">
        <f t="shared" si="8"/>
        <v/>
      </c>
      <c r="O124" s="11" t="str">
        <f t="shared" si="9"/>
        <v/>
      </c>
      <c r="P124" s="11" t="str">
        <f t="shared" si="10"/>
        <v/>
      </c>
    </row>
  </sheetData>
  <mergeCells count="2">
    <mergeCell ref="A1:P1"/>
    <mergeCell ref="A2:P2"/>
  </mergeCells>
  <conditionalFormatting sqref="P5:P124">
    <cfRule type="containsText" dxfId="0" priority="1" operator="between" text="PAY">
      <formula>NOT(ISERROR(SEARCH("PAY",P5)))</formula>
    </cfRule>
    <cfRule type="containsText" dxfId="1" priority="2" operator="between" text="HOLD">
      <formula>NOT(ISERROR(SEARCH("HOLD",P5)))</formula>
    </cfRule>
  </conditionalFormatting>
  <conditionalFormatting sqref="K5:O124">
    <cfRule type="notContainsText" dxfId="2" priority="3" operator="notContains" text="OK">
      <formula>ISERROR(SEARCH("OK",K5))</formula>
    </cfRule>
  </conditionalFormatting>
  <dataValidations count="3">
    <dataValidation type="list" sqref="B5:B124">
      <formula1>#REF!</formula1>
    </dataValidation>
    <dataValidation type="list" sqref="C5:C124">
      <formula1>#REF!</formula1>
    </dataValidation>
    <dataValidation type="list" sqref="D5:D124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Worker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Winner</cp:lastModifiedBy>
  <dcterms:created xsi:type="dcterms:W3CDTF">2026-07-02T23:58:30Z</dcterms:created>
  <dcterms:modified xsi:type="dcterms:W3CDTF">2026-07-03T00:04:40Z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93DF86CFBD3340D096DD4209DE7DA749_12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